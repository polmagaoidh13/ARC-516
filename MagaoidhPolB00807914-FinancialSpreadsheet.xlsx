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lster-my.sharepoint.com/personal/mag_aoidh-p_ulster_ac_uk/Documents/Year 4/ARC515/"/>
    </mc:Choice>
  </mc:AlternateContent>
  <xr:revisionPtr revIDLastSave="569" documentId="8_{6FAED726-33E8-4B93-BA68-5CFC763092C2}" xr6:coauthVersionLast="47" xr6:coauthVersionMax="47" xr10:uidLastSave="{12BC9765-1D13-437C-975E-F2883AE7A69F}"/>
  <bookViews>
    <workbookView xWindow="-120" yWindow="-120" windowWidth="29040" windowHeight="15720" activeTab="3" xr2:uid="{00000000-000D-0000-FFFF-FFFF00000000}"/>
  </bookViews>
  <sheets>
    <sheet name="Sales forecast" sheetId="3" r:id="rId1"/>
    <sheet name="Cashflow" sheetId="2" r:id="rId2"/>
    <sheet name="P&amp;L" sheetId="1" r:id="rId3"/>
    <sheet name="Justific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3" l="1"/>
  <c r="I26" i="3"/>
  <c r="I27" i="3"/>
  <c r="I90" i="3"/>
  <c r="E51" i="3"/>
  <c r="I41" i="3"/>
  <c r="E43" i="3"/>
  <c r="C8" i="2"/>
  <c r="C14" i="2" s="1"/>
  <c r="D8" i="2"/>
  <c r="E8" i="2"/>
  <c r="F8" i="2"/>
  <c r="G8" i="2"/>
  <c r="H8" i="2"/>
  <c r="I8" i="2"/>
  <c r="J8" i="2"/>
  <c r="J14" i="2" s="1"/>
  <c r="K8" i="2"/>
  <c r="L8" i="2"/>
  <c r="M8" i="2"/>
  <c r="M14" i="2" s="1"/>
  <c r="B8" i="2"/>
  <c r="B14" i="2" s="1"/>
  <c r="D14" i="2"/>
  <c r="E14" i="2"/>
  <c r="F14" i="2"/>
  <c r="G14" i="2"/>
  <c r="H14" i="2"/>
  <c r="I14" i="2"/>
  <c r="K14" i="2"/>
  <c r="L14" i="2"/>
  <c r="B34" i="2"/>
  <c r="B43" i="2" s="1"/>
  <c r="C34" i="2"/>
  <c r="C43" i="2" s="1"/>
  <c r="D34" i="2"/>
  <c r="D43" i="2" s="1"/>
  <c r="E34" i="2"/>
  <c r="E43" i="2" s="1"/>
  <c r="F34" i="2"/>
  <c r="F43" i="2" s="1"/>
  <c r="G34" i="2"/>
  <c r="G43" i="2" s="1"/>
  <c r="H34" i="2"/>
  <c r="H43" i="2" s="1"/>
  <c r="I34" i="2"/>
  <c r="I43" i="2" s="1"/>
  <c r="J34" i="2"/>
  <c r="J43" i="2" s="1"/>
  <c r="K34" i="2"/>
  <c r="K43" i="2" s="1"/>
  <c r="L34" i="2"/>
  <c r="L43" i="2" s="1"/>
  <c r="M34" i="2"/>
  <c r="M43" i="2" s="1"/>
  <c r="N6" i="1"/>
  <c r="N8" i="1"/>
  <c r="B10" i="1"/>
  <c r="B12" i="1" s="1"/>
  <c r="C10" i="1"/>
  <c r="C12" i="1" s="1"/>
  <c r="D10" i="1"/>
  <c r="D12" i="1" s="1"/>
  <c r="E10" i="1"/>
  <c r="E12" i="1" s="1"/>
  <c r="F10" i="1"/>
  <c r="F12" i="1" s="1"/>
  <c r="G10" i="1"/>
  <c r="G12" i="1" s="1"/>
  <c r="H10" i="1"/>
  <c r="H12" i="1" s="1"/>
  <c r="I10" i="1"/>
  <c r="I12" i="1" s="1"/>
  <c r="J10" i="1"/>
  <c r="J12" i="1" s="1"/>
  <c r="K10" i="1"/>
  <c r="K12" i="1" s="1"/>
  <c r="L10" i="1"/>
  <c r="L12" i="1" s="1"/>
  <c r="M10" i="1"/>
  <c r="M12" i="1" s="1"/>
  <c r="N15" i="1"/>
  <c r="N16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B32" i="1"/>
  <c r="B34" i="1" s="1"/>
  <c r="B36" i="1" s="1"/>
  <c r="C32" i="1"/>
  <c r="C34" i="1" s="1"/>
  <c r="C36" i="1" s="1"/>
  <c r="D32" i="1"/>
  <c r="D34" i="1" s="1"/>
  <c r="D36" i="1" s="1"/>
  <c r="E32" i="1"/>
  <c r="E34" i="1" s="1"/>
  <c r="E36" i="1" s="1"/>
  <c r="F32" i="1"/>
  <c r="F34" i="1" s="1"/>
  <c r="F36" i="1" s="1"/>
  <c r="G32" i="1"/>
  <c r="G34" i="1" s="1"/>
  <c r="G36" i="1" s="1"/>
  <c r="H32" i="1"/>
  <c r="H34" i="1" s="1"/>
  <c r="H36" i="1" s="1"/>
  <c r="I32" i="1"/>
  <c r="I34" i="1" s="1"/>
  <c r="I36" i="1" s="1"/>
  <c r="J32" i="1"/>
  <c r="J34" i="1" s="1"/>
  <c r="J36" i="1" s="1"/>
  <c r="K32" i="1"/>
  <c r="K34" i="1" s="1"/>
  <c r="K36" i="1" s="1"/>
  <c r="L32" i="1"/>
  <c r="L34" i="1" s="1"/>
  <c r="L36" i="1" s="1"/>
  <c r="M32" i="1"/>
  <c r="M34" i="1" s="1"/>
  <c r="M36" i="1" s="1"/>
  <c r="I23" i="3"/>
  <c r="I24" i="3"/>
  <c r="I25" i="3"/>
  <c r="E27" i="3"/>
  <c r="I31" i="3"/>
  <c r="I32" i="3"/>
  <c r="I33" i="3"/>
  <c r="E35" i="3"/>
  <c r="I39" i="3"/>
  <c r="I40" i="3"/>
  <c r="I48" i="3"/>
  <c r="I51" i="3" s="1"/>
  <c r="I49" i="3"/>
  <c r="I50" i="3"/>
  <c r="I55" i="3"/>
  <c r="I56" i="3"/>
  <c r="I58" i="3"/>
  <c r="E59" i="3"/>
  <c r="I63" i="3"/>
  <c r="I64" i="3"/>
  <c r="I66" i="3"/>
  <c r="E67" i="3"/>
  <c r="I71" i="3"/>
  <c r="I74" i="3"/>
  <c r="E75" i="3"/>
  <c r="I79" i="3"/>
  <c r="I80" i="3"/>
  <c r="I81" i="3"/>
  <c r="E83" i="3"/>
  <c r="I87" i="3"/>
  <c r="I88" i="3"/>
  <c r="I89" i="3"/>
  <c r="E91" i="3"/>
  <c r="I95" i="3"/>
  <c r="I96" i="3"/>
  <c r="I97" i="3"/>
  <c r="E99" i="3"/>
  <c r="I103" i="3"/>
  <c r="I104" i="3"/>
  <c r="I105" i="3"/>
  <c r="E107" i="3"/>
  <c r="I111" i="3"/>
  <c r="I112" i="3"/>
  <c r="I113" i="3"/>
  <c r="E115" i="3"/>
  <c r="I43" i="3" l="1"/>
  <c r="C8" i="3" s="1"/>
  <c r="L45" i="2"/>
  <c r="K45" i="2"/>
  <c r="I45" i="2"/>
  <c r="H45" i="2"/>
  <c r="G45" i="2"/>
  <c r="F45" i="2"/>
  <c r="E45" i="2"/>
  <c r="M45" i="2"/>
  <c r="J45" i="2"/>
  <c r="C45" i="2"/>
  <c r="I115" i="3"/>
  <c r="C17" i="3" s="1"/>
  <c r="I107" i="3"/>
  <c r="C16" i="3" s="1"/>
  <c r="I99" i="3"/>
  <c r="C15" i="3" s="1"/>
  <c r="I91" i="3"/>
  <c r="C14" i="3" s="1"/>
  <c r="I83" i="3"/>
  <c r="C13" i="3" s="1"/>
  <c r="I75" i="3"/>
  <c r="C12" i="3" s="1"/>
  <c r="I67" i="3"/>
  <c r="C11" i="3" s="1"/>
  <c r="I59" i="3"/>
  <c r="C10" i="3" s="1"/>
  <c r="C9" i="3"/>
  <c r="I35" i="3"/>
  <c r="C7" i="3" s="1"/>
  <c r="B45" i="2"/>
  <c r="B47" i="2" s="1"/>
  <c r="C4" i="2" s="1"/>
  <c r="N10" i="1"/>
  <c r="N12" i="1" s="1"/>
  <c r="N32" i="1"/>
  <c r="N34" i="1" s="1"/>
  <c r="N36" i="1" s="1"/>
  <c r="D45" i="2"/>
  <c r="C6" i="3"/>
  <c r="C47" i="2" l="1"/>
  <c r="D4" i="2" s="1"/>
  <c r="D47" i="2" s="1"/>
  <c r="E4" i="2" s="1"/>
  <c r="E47" i="2" s="1"/>
  <c r="F4" i="2" s="1"/>
  <c r="F47" i="2" s="1"/>
  <c r="G4" i="2" s="1"/>
  <c r="G47" i="2" s="1"/>
  <c r="H4" i="2" s="1"/>
  <c r="H47" i="2" s="1"/>
  <c r="I4" i="2" s="1"/>
  <c r="I47" i="2" s="1"/>
  <c r="J4" i="2" s="1"/>
  <c r="J47" i="2" s="1"/>
  <c r="K4" i="2" s="1"/>
  <c r="K47" i="2" s="1"/>
  <c r="L4" i="2" s="1"/>
  <c r="L47" i="2" s="1"/>
  <c r="M4" i="2" s="1"/>
  <c r="M47" i="2" s="1"/>
  <c r="C19" i="3"/>
</calcChain>
</file>

<file path=xl/sharedStrings.xml><?xml version="1.0" encoding="utf-8"?>
<sst xmlns="http://schemas.openxmlformats.org/spreadsheetml/2006/main" count="354" uniqueCount="185">
  <si>
    <t>Month</t>
  </si>
  <si>
    <t>Total</t>
  </si>
  <si>
    <t>Revenue</t>
  </si>
  <si>
    <t>Cost of sales</t>
  </si>
  <si>
    <t>Gross profit</t>
  </si>
  <si>
    <t>Gross profit margin (%)</t>
  </si>
  <si>
    <t>Premises (rent, rates)</t>
  </si>
  <si>
    <t>Telephone</t>
  </si>
  <si>
    <t>Insurance</t>
  </si>
  <si>
    <t>Depreciation</t>
  </si>
  <si>
    <t>Interest and bank charges payable</t>
  </si>
  <si>
    <t>Power (light, heat, electricity, gas)</t>
  </si>
  <si>
    <t>Other specific expenses</t>
  </si>
  <si>
    <t>Net profit</t>
  </si>
  <si>
    <t>Net profit margin</t>
  </si>
  <si>
    <t>Expenses/overheads</t>
  </si>
  <si>
    <t>Total expenses/overheads</t>
  </si>
  <si>
    <t>VAT invoiced</t>
  </si>
  <si>
    <t>Directors loans</t>
  </si>
  <si>
    <t>Share capital investment</t>
  </si>
  <si>
    <t>Other external finance/loans</t>
  </si>
  <si>
    <t>TOTAL CASH RECEIPTS</t>
  </si>
  <si>
    <t>CASH PAID OUT</t>
  </si>
  <si>
    <t>OPERATING EXPENSES SUBTOTAL</t>
  </si>
  <si>
    <t>Bad-debt provision</t>
  </si>
  <si>
    <t>Plant and other capital expenditure</t>
  </si>
  <si>
    <t>Loan and financing repayments</t>
  </si>
  <si>
    <t>Repayment of directors loans</t>
  </si>
  <si>
    <t>Other specific financing payments</t>
  </si>
  <si>
    <t>TOTAL CASH PAID OUT</t>
  </si>
  <si>
    <t>CASH BALANCE</t>
  </si>
  <si>
    <t>CASH IN HAND AT BEGINNING OF PERIOD</t>
  </si>
  <si>
    <t>Cash sales excluding VAT</t>
  </si>
  <si>
    <t>Other specific cash inflow</t>
  </si>
  <si>
    <t>CASH IN</t>
  </si>
  <si>
    <t>Summary</t>
  </si>
  <si>
    <t>by end month 1</t>
  </si>
  <si>
    <t>by end month 2</t>
  </si>
  <si>
    <t>by end month 3</t>
  </si>
  <si>
    <t>by end month 4</t>
  </si>
  <si>
    <t>by end month 5</t>
  </si>
  <si>
    <t>by end month 6</t>
  </si>
  <si>
    <t>TOTAL</t>
  </si>
  <si>
    <t>Customer</t>
  </si>
  <si>
    <t>Status</t>
  </si>
  <si>
    <t>Forecast</t>
  </si>
  <si>
    <t>%</t>
  </si>
  <si>
    <t>Close date</t>
  </si>
  <si>
    <t>In progress</t>
  </si>
  <si>
    <t>Weighted estimate</t>
  </si>
  <si>
    <t>Early stages</t>
  </si>
  <si>
    <t>Monthly analysis</t>
  </si>
  <si>
    <t>Comments</t>
  </si>
  <si>
    <t>by end month 7</t>
  </si>
  <si>
    <t>by end month 8</t>
  </si>
  <si>
    <t>by end month 9</t>
  </si>
  <si>
    <t>by end month 10</t>
  </si>
  <si>
    <t>by end month 11</t>
  </si>
  <si>
    <t>by end month 12</t>
  </si>
  <si>
    <t>Weighted forecast</t>
  </si>
  <si>
    <t>Forecast total for period</t>
  </si>
  <si>
    <t>Estimated close date</t>
  </si>
  <si>
    <t>Drawings, wages or salaries</t>
  </si>
  <si>
    <t>Advertising</t>
  </si>
  <si>
    <t>Postage and carriage</t>
  </si>
  <si>
    <t>Accountancy fees</t>
  </si>
  <si>
    <t>Motor expenses</t>
  </si>
  <si>
    <t>Legal/professional fees</t>
  </si>
  <si>
    <t>Equipment hire</t>
  </si>
  <si>
    <t>Stationery</t>
  </si>
  <si>
    <t>VAT payment due to HM Revenue &amp; Customs</t>
  </si>
  <si>
    <t>NET CASHFLOW FOR PERIOD</t>
  </si>
  <si>
    <t>JUSFIFICATION OF COSTS</t>
  </si>
  <si>
    <t xml:space="preserve">Pure Fit-out </t>
  </si>
  <si>
    <t>Work subbed out from Pure Fit-Out for technical details</t>
  </si>
  <si>
    <t>Interior Inc</t>
  </si>
  <si>
    <t xml:space="preserve">3D model of Concept Design for one off house </t>
  </si>
  <si>
    <t>Mr and Mrs Hughes</t>
  </si>
  <si>
    <t>21.05.25</t>
  </si>
  <si>
    <t>27.05.25</t>
  </si>
  <si>
    <t>29.05.25</t>
  </si>
  <si>
    <t>Pure Fit-out</t>
  </si>
  <si>
    <t xml:space="preserve">Pure Fit-Out </t>
  </si>
  <si>
    <t>Pure Fit-Out</t>
  </si>
  <si>
    <t xml:space="preserve">Work Subbed out from Pure Fit- out For 3D modeling </t>
  </si>
  <si>
    <t>02.06.25</t>
  </si>
  <si>
    <t>Closed</t>
  </si>
  <si>
    <t>25.06.25</t>
  </si>
  <si>
    <t>17.06.25</t>
  </si>
  <si>
    <t>Work Subbed out from pure fit- out for technical detail package</t>
  </si>
  <si>
    <t>Work subbed from Pure Fit-Out for fire Stopping Details pack</t>
  </si>
  <si>
    <t>Work subbed out from Pure Fit -out for technical details Package</t>
  </si>
  <si>
    <t>Orto Antrim road</t>
  </si>
  <si>
    <t xml:space="preserve">Abcord Construction </t>
  </si>
  <si>
    <t>Resturant refurishment and fit out concept design package</t>
  </si>
  <si>
    <t>Orto Antrim Road</t>
  </si>
  <si>
    <t xml:space="preserve">construction drawing pack </t>
  </si>
  <si>
    <t>Abcord Construction Closed</t>
  </si>
  <si>
    <t>As Built and handover complete</t>
  </si>
  <si>
    <t xml:space="preserve">Fire Stopping designs Package </t>
  </si>
  <si>
    <t xml:space="preserve">Technical detail package </t>
  </si>
  <si>
    <t>Nomdaic Watches</t>
  </si>
  <si>
    <t>Shop Fit- out Concept Designs</t>
  </si>
  <si>
    <t>Pure Fit - Out</t>
  </si>
  <si>
    <t>Fire Stopping package</t>
  </si>
  <si>
    <t>Nomadic Watches</t>
  </si>
  <si>
    <t xml:space="preserve">Lidar Scanning and Planning drawings </t>
  </si>
  <si>
    <t>Early Stages</t>
  </si>
  <si>
    <t>Abcord Construction in Progress</t>
  </si>
  <si>
    <t xml:space="preserve">Construction drawing package </t>
  </si>
  <si>
    <t>3D modelling of Shop store</t>
  </si>
  <si>
    <t>Concept interior drawings for dwelling</t>
  </si>
  <si>
    <t>As built drawing and handover Complete</t>
  </si>
  <si>
    <t xml:space="preserve">Lidar Scanning and design concepts for event hall </t>
  </si>
  <si>
    <t>Abcord Construction In Progress</t>
  </si>
  <si>
    <t>Fire stopping pack including Shaft wall and Bulkhead FR details</t>
  </si>
  <si>
    <t xml:space="preserve">Design Concepts for Titanic Hotel ball/function room </t>
  </si>
  <si>
    <t xml:space="preserve">Technical Detail pack </t>
  </si>
  <si>
    <t>01.07.25</t>
  </si>
  <si>
    <t>15.07.25</t>
  </si>
  <si>
    <t>09.08.25</t>
  </si>
  <si>
    <t>15.08.25</t>
  </si>
  <si>
    <t>26.08.25</t>
  </si>
  <si>
    <t>02.09.25</t>
  </si>
  <si>
    <t>06.09.25</t>
  </si>
  <si>
    <t>25.09.25</t>
  </si>
  <si>
    <t>10.10.25</t>
  </si>
  <si>
    <t>16.10.25</t>
  </si>
  <si>
    <t>02.11.25</t>
  </si>
  <si>
    <t>09.11.25</t>
  </si>
  <si>
    <t>24.11.25</t>
  </si>
  <si>
    <t>16.12.25</t>
  </si>
  <si>
    <t>22.12.25</t>
  </si>
  <si>
    <t>06.01.26</t>
  </si>
  <si>
    <t>09.01.26</t>
  </si>
  <si>
    <t>25.01.26</t>
  </si>
  <si>
    <t>06.02.26</t>
  </si>
  <si>
    <t>19.02.26</t>
  </si>
  <si>
    <t>28.02.26</t>
  </si>
  <si>
    <t>06.03.26</t>
  </si>
  <si>
    <t>13.03.26</t>
  </si>
  <si>
    <t>25.03.26</t>
  </si>
  <si>
    <t>28.04.26</t>
  </si>
  <si>
    <t>30.04.26</t>
  </si>
  <si>
    <t xml:space="preserve">Feasibility study for domestic house extension in belfast with concept designs </t>
  </si>
  <si>
    <t>Prep work and planning drawings submitted</t>
  </si>
  <si>
    <t>Initial consultation and feasibility of 5 dwellings in whitehead with concepts</t>
  </si>
  <si>
    <t xml:space="preserve">Mr and Mrs Hughes </t>
  </si>
  <si>
    <t>Technical drawings prepared and building control submission start</t>
  </si>
  <si>
    <t>Site surevy, site plan and Dwellings established</t>
  </si>
  <si>
    <t xml:space="preserve">Schematic design, deisgn development and planning application packs </t>
  </si>
  <si>
    <t>Design Developments and planning Application packs</t>
  </si>
  <si>
    <t xml:space="preserve">contruction drawing pack and construction phase commences </t>
  </si>
  <si>
    <t>In Progress</t>
  </si>
  <si>
    <t xml:space="preserve">Site Visit </t>
  </si>
  <si>
    <t xml:space="preserve">Mr and Mrs hughes </t>
  </si>
  <si>
    <t>final Hand over and as built drawings complete</t>
  </si>
  <si>
    <t>Construction Drawing pack and construction phase Commences</t>
  </si>
  <si>
    <t>Site Visit</t>
  </si>
  <si>
    <t>Final hand over and as built drawings complete</t>
  </si>
  <si>
    <t>CASHFLOW FORECAST TEMPLATE - Stratton Designs.</t>
  </si>
  <si>
    <t xml:space="preserve">indemnity Insurance - </t>
  </si>
  <si>
    <t>Rent-</t>
  </si>
  <si>
    <t>Staionary  - 3 x Zbook Laptops, with money for desks, pens, pencils and Computer mouses</t>
  </si>
  <si>
    <t xml:space="preserve">Wages- </t>
  </si>
  <si>
    <t>Director - £3000   AT - £2500   Junior AT - 2200</t>
  </si>
  <si>
    <t>Phone</t>
  </si>
  <si>
    <t xml:space="preserve">Directors Loan </t>
  </si>
  <si>
    <t xml:space="preserve">Equiptment Hire - Revit, AutoCAD, Sketch Up </t>
  </si>
  <si>
    <t>SALES FORECAST TEMPLATE - Stratton Designs</t>
  </si>
  <si>
    <t>Portview</t>
  </si>
  <si>
    <t>3D modelling of Removable bar (wembley)</t>
  </si>
  <si>
    <t>30.05.25</t>
  </si>
  <si>
    <t>3D modelling of Director Lounge (Arsenal)</t>
  </si>
  <si>
    <t>19.07.25</t>
  </si>
  <si>
    <t>24.08.25</t>
  </si>
  <si>
    <t xml:space="preserve">Interior Inc </t>
  </si>
  <si>
    <t>Clsoed</t>
  </si>
  <si>
    <t xml:space="preserve">Digital Scans for banquet hall </t>
  </si>
  <si>
    <t>04.11.25</t>
  </si>
  <si>
    <t xml:space="preserve">Extra £100 for paper Etc half way through the year. </t>
  </si>
  <si>
    <t>perosnal £20,000 Loan from Director (no Interest)</t>
  </si>
  <si>
    <t xml:space="preserve">Power </t>
  </si>
  <si>
    <t>0.25 p (price per watt per sqft)  x 508sqft = £127    £148 on gas</t>
  </si>
  <si>
    <t>PROFIT AND LOSS FORECAST TEMPLATE - Stratton Designs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</si>
</sst>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164" formatCode="0.0%"/>
  </numFmts>
  <fonts count="19" x14ac:knownFonts="1">
    <font>
      <sz val="10"/>
      <name val="Arial"/>
    </font>
    <font>
      <sz val="10"/>
      <color indexed="12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0"/>
      <color indexed="8"/>
      <name val="Arial"/>
      <family val="2"/>
    </font>
    <font>
      <b/>
      <i/>
      <sz val="10"/>
      <color indexed="9"/>
      <name val="Arial"/>
      <family val="2"/>
    </font>
    <font>
      <i/>
      <sz val="10"/>
      <name val="Arial"/>
      <family val="2"/>
    </font>
    <font>
      <sz val="10"/>
      <color indexed="18"/>
      <name val="Arial"/>
      <family val="2"/>
    </font>
    <font>
      <b/>
      <sz val="10"/>
      <color indexed="44"/>
      <name val="Arial"/>
      <family val="2"/>
    </font>
    <font>
      <b/>
      <sz val="10"/>
      <color indexed="8"/>
      <name val="Arial"/>
      <family val="2"/>
    </font>
    <font>
      <sz val="14"/>
      <name val="Arial"/>
      <family val="2"/>
    </font>
    <font>
      <sz val="10"/>
      <color indexed="46"/>
      <name val="Arial"/>
      <family val="2"/>
    </font>
    <font>
      <sz val="10"/>
      <color indexed="43"/>
      <name val="Arial"/>
      <family val="2"/>
    </font>
    <font>
      <b/>
      <sz val="10"/>
      <color indexed="43"/>
      <name val="Arial"/>
      <family val="2"/>
    </font>
    <font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6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5" fillId="4" borderId="0" xfId="0" applyFont="1" applyFill="1"/>
    <xf numFmtId="0" fontId="7" fillId="4" borderId="0" xfId="0" applyFont="1" applyFill="1"/>
    <xf numFmtId="0" fontId="0" fillId="4" borderId="0" xfId="0" applyFill="1"/>
    <xf numFmtId="0" fontId="9" fillId="5" borderId="0" xfId="0" applyFont="1" applyFill="1"/>
    <xf numFmtId="0" fontId="2" fillId="6" borderId="0" xfId="0" applyFont="1" applyFill="1"/>
    <xf numFmtId="0" fontId="3" fillId="6" borderId="0" xfId="0" applyFont="1" applyFill="1"/>
    <xf numFmtId="0" fontId="8" fillId="0" borderId="0" xfId="0" applyFont="1"/>
    <xf numFmtId="0" fontId="5" fillId="0" borderId="0" xfId="0" applyFont="1"/>
    <xf numFmtId="0" fontId="3" fillId="5" borderId="0" xfId="0" applyFont="1" applyFill="1"/>
    <xf numFmtId="0" fontId="10" fillId="0" borderId="0" xfId="0" applyFont="1"/>
    <xf numFmtId="0" fontId="5" fillId="3" borderId="1" xfId="0" applyFont="1" applyFill="1" applyBorder="1" applyAlignment="1">
      <alignment horizontal="right"/>
    </xf>
    <xf numFmtId="0" fontId="0" fillId="0" borderId="2" xfId="0" applyBorder="1"/>
    <xf numFmtId="0" fontId="6" fillId="4" borderId="2" xfId="0" applyFont="1" applyFill="1" applyBorder="1"/>
    <xf numFmtId="0" fontId="2" fillId="6" borderId="2" xfId="0" applyFont="1" applyFill="1" applyBorder="1"/>
    <xf numFmtId="10" fontId="9" fillId="5" borderId="0" xfId="0" applyNumberFormat="1" applyFont="1" applyFill="1"/>
    <xf numFmtId="10" fontId="2" fillId="5" borderId="0" xfId="0" applyNumberFormat="1" applyFont="1" applyFill="1"/>
    <xf numFmtId="0" fontId="11" fillId="2" borderId="0" xfId="0" applyFont="1" applyFill="1"/>
    <xf numFmtId="0" fontId="6" fillId="0" borderId="0" xfId="0" applyFont="1"/>
    <xf numFmtId="0" fontId="0" fillId="7" borderId="0" xfId="0" applyFill="1"/>
    <xf numFmtId="0" fontId="5" fillId="7" borderId="0" xfId="0" applyFont="1" applyFill="1"/>
    <xf numFmtId="0" fontId="0" fillId="8" borderId="0" xfId="0" applyFill="1"/>
    <xf numFmtId="0" fontId="5" fillId="8" borderId="0" xfId="0" applyFont="1" applyFill="1"/>
    <xf numFmtId="0" fontId="13" fillId="3" borderId="0" xfId="0" applyFont="1" applyFill="1"/>
    <xf numFmtId="0" fontId="13" fillId="8" borderId="0" xfId="0" applyFont="1" applyFill="1"/>
    <xf numFmtId="0" fontId="7" fillId="9" borderId="0" xfId="0" applyFont="1" applyFill="1"/>
    <xf numFmtId="0" fontId="5" fillId="9" borderId="0" xfId="0" applyFont="1" applyFill="1"/>
    <xf numFmtId="0" fontId="12" fillId="3" borderId="0" xfId="0" applyFont="1" applyFill="1"/>
    <xf numFmtId="0" fontId="0" fillId="2" borderId="0" xfId="0" applyFill="1"/>
    <xf numFmtId="0" fontId="14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horizontal="center"/>
    </xf>
    <xf numFmtId="6" fontId="0" fillId="0" borderId="0" xfId="0" applyNumberFormat="1"/>
    <xf numFmtId="0" fontId="7" fillId="8" borderId="0" xfId="0" applyFont="1" applyFill="1"/>
    <xf numFmtId="0" fontId="16" fillId="4" borderId="0" xfId="0" applyFont="1" applyFill="1"/>
    <xf numFmtId="0" fontId="13" fillId="4" borderId="0" xfId="0" applyFont="1" applyFill="1" applyAlignment="1">
      <alignment wrapText="1"/>
    </xf>
    <xf numFmtId="0" fontId="0" fillId="10" borderId="0" xfId="0" applyFill="1"/>
    <xf numFmtId="0" fontId="7" fillId="8" borderId="0" xfId="0" applyFont="1" applyFill="1" applyAlignment="1">
      <alignment horizontal="center"/>
    </xf>
    <xf numFmtId="0" fontId="15" fillId="0" borderId="0" xfId="0" applyFont="1"/>
    <xf numFmtId="17" fontId="7" fillId="0" borderId="0" xfId="0" applyNumberFormat="1" applyFont="1"/>
    <xf numFmtId="6" fontId="10" fillId="0" borderId="0" xfId="0" applyNumberFormat="1" applyFont="1"/>
    <xf numFmtId="6" fontId="0" fillId="8" borderId="0" xfId="0" applyNumberFormat="1" applyFill="1"/>
    <xf numFmtId="0" fontId="16" fillId="0" borderId="0" xfId="0" applyFont="1"/>
    <xf numFmtId="0" fontId="17" fillId="0" borderId="0" xfId="0" applyFont="1"/>
    <xf numFmtId="164" fontId="3" fillId="5" borderId="0" xfId="0" applyNumberFormat="1" applyFont="1" applyFill="1"/>
    <xf numFmtId="164" fontId="2" fillId="5" borderId="0" xfId="0" applyNumberFormat="1" applyFont="1" applyFill="1"/>
    <xf numFmtId="164" fontId="2" fillId="5" borderId="2" xfId="0" applyNumberFormat="1" applyFont="1" applyFill="1" applyBorder="1"/>
    <xf numFmtId="0" fontId="6" fillId="2" borderId="0" xfId="0" applyFont="1" applyFill="1"/>
    <xf numFmtId="0" fontId="18" fillId="0" borderId="0" xfId="0" applyFont="1"/>
    <xf numFmtId="0" fontId="4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</xdr:row>
      <xdr:rowOff>180975</xdr:rowOff>
    </xdr:from>
    <xdr:to>
      <xdr:col>1</xdr:col>
      <xdr:colOff>3305478</xdr:colOff>
      <xdr:row>4</xdr:row>
      <xdr:rowOff>1885950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4F9588-DBEC-E829-0B06-8739BE4D9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86275"/>
          <a:ext cx="3276903" cy="17049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</xdr:row>
      <xdr:rowOff>114301</xdr:rowOff>
    </xdr:from>
    <xdr:to>
      <xdr:col>1</xdr:col>
      <xdr:colOff>3768761</xdr:colOff>
      <xdr:row>5</xdr:row>
      <xdr:rowOff>809625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05588A-5A32-59D7-7B05-3088AB770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3950" y="6381751"/>
          <a:ext cx="3759236" cy="695324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7</xdr:row>
      <xdr:rowOff>619125</xdr:rowOff>
    </xdr:from>
    <xdr:to>
      <xdr:col>1</xdr:col>
      <xdr:colOff>3667625</xdr:colOff>
      <xdr:row>7</xdr:row>
      <xdr:rowOff>1800390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E4B852-AFCB-B229-D944-0EE3C6610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43525" y="10134600"/>
          <a:ext cx="3581900" cy="118126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952500</xdr:colOff>
      <xdr:row>9</xdr:row>
      <xdr:rowOff>514351</xdr:rowOff>
    </xdr:from>
    <xdr:to>
      <xdr:col>1</xdr:col>
      <xdr:colOff>3562350</xdr:colOff>
      <xdr:row>9</xdr:row>
      <xdr:rowOff>1784785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140423-7196-4A0A-B7DB-5CB87D687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10300" y="13973176"/>
          <a:ext cx="2609850" cy="1270434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104776</xdr:colOff>
      <xdr:row>9</xdr:row>
      <xdr:rowOff>95251</xdr:rowOff>
    </xdr:from>
    <xdr:to>
      <xdr:col>1</xdr:col>
      <xdr:colOff>1038226</xdr:colOff>
      <xdr:row>9</xdr:row>
      <xdr:rowOff>502813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B533D8-24BA-FC65-8F4F-D068AA8BD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62576" y="13554076"/>
          <a:ext cx="933450" cy="407562"/>
        </a:xfrm>
        <a:prstGeom prst="rect">
          <a:avLst/>
        </a:prstGeom>
      </xdr:spPr>
    </xdr:pic>
    <xdr:clientData/>
  </xdr:twoCellAnchor>
  <xdr:twoCellAnchor editAs="oneCell">
    <xdr:from>
      <xdr:col>2</xdr:col>
      <xdr:colOff>695325</xdr:colOff>
      <xdr:row>9</xdr:row>
      <xdr:rowOff>549413</xdr:rowOff>
    </xdr:from>
    <xdr:to>
      <xdr:col>2</xdr:col>
      <xdr:colOff>3648075</xdr:colOff>
      <xdr:row>9</xdr:row>
      <xdr:rowOff>1853815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164D9A7-B02A-1D3C-F308-A7CA894D1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53600" y="14008238"/>
          <a:ext cx="2952750" cy="1304402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9</xdr:row>
      <xdr:rowOff>161925</xdr:rowOff>
    </xdr:from>
    <xdr:to>
      <xdr:col>2</xdr:col>
      <xdr:colOff>1167423</xdr:colOff>
      <xdr:row>9</xdr:row>
      <xdr:rowOff>438150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1FA496-757A-62A9-F330-45F73CFDD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91625" y="13620750"/>
          <a:ext cx="1034073" cy="276225"/>
        </a:xfrm>
        <a:prstGeom prst="rect">
          <a:avLst/>
        </a:prstGeom>
      </xdr:spPr>
    </xdr:pic>
    <xdr:clientData/>
  </xdr:twoCellAnchor>
  <xdr:twoCellAnchor editAs="oneCell">
    <xdr:from>
      <xdr:col>1</xdr:col>
      <xdr:colOff>327326</xdr:colOff>
      <xdr:row>3</xdr:row>
      <xdr:rowOff>419100</xdr:rowOff>
    </xdr:from>
    <xdr:to>
      <xdr:col>1</xdr:col>
      <xdr:colOff>3486978</xdr:colOff>
      <xdr:row>3</xdr:row>
      <xdr:rowOff>1752950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A3BB20E-5984-817E-610F-F85C9D239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85126" y="2781300"/>
          <a:ext cx="3159652" cy="13338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workbookViewId="0">
      <selection activeCell="C6" sqref="C6"/>
    </sheetView>
  </sheetViews>
  <sheetFormatPr defaultRowHeight="12.75" x14ac:dyDescent="0.2"/>
  <cols>
    <col min="1" max="1" width="21.5703125" customWidth="1"/>
    <col min="2" max="2" width="22.7109375" customWidth="1"/>
    <col min="3" max="3" width="28.42578125" bestFit="1" customWidth="1"/>
    <col min="4" max="4" width="13.5703125" customWidth="1"/>
    <col min="5" max="5" width="13.7109375" customWidth="1"/>
    <col min="6" max="6" width="13" customWidth="1"/>
    <col min="7" max="7" width="68" bestFit="1" customWidth="1"/>
    <col min="8" max="8" width="15.140625" customWidth="1"/>
    <col min="9" max="9" width="17.7109375" customWidth="1"/>
    <col min="10" max="10" width="14.7109375" customWidth="1"/>
  </cols>
  <sheetData>
    <row r="1" spans="1:10" s="32" customFormat="1" ht="18" x14ac:dyDescent="0.25">
      <c r="A1" s="2" t="s">
        <v>169</v>
      </c>
      <c r="C1" s="52"/>
    </row>
    <row r="2" spans="1:10" x14ac:dyDescent="0.2">
      <c r="I2" s="35"/>
    </row>
    <row r="3" spans="1:10" ht="18" x14ac:dyDescent="0.25">
      <c r="A3" s="33" t="s">
        <v>35</v>
      </c>
    </row>
    <row r="4" spans="1:10" s="47" customFormat="1" ht="13.5" customHeight="1" x14ac:dyDescent="0.2">
      <c r="A4" s="39"/>
      <c r="B4" s="40" t="s">
        <v>61</v>
      </c>
      <c r="C4" s="42" t="s">
        <v>59</v>
      </c>
      <c r="J4" s="48"/>
    </row>
    <row r="5" spans="1:10" s="34" customFormat="1" x14ac:dyDescent="0.2">
      <c r="C5" s="38"/>
      <c r="I5" s="44"/>
    </row>
    <row r="6" spans="1:10" x14ac:dyDescent="0.2">
      <c r="B6" s="12" t="s">
        <v>36</v>
      </c>
      <c r="C6" s="46">
        <f>I27</f>
        <v>13050</v>
      </c>
    </row>
    <row r="7" spans="1:10" x14ac:dyDescent="0.2">
      <c r="B7" s="12" t="s">
        <v>37</v>
      </c>
      <c r="C7" s="46">
        <f>I35</f>
        <v>10900</v>
      </c>
    </row>
    <row r="8" spans="1:10" x14ac:dyDescent="0.2">
      <c r="B8" s="12" t="s">
        <v>38</v>
      </c>
      <c r="C8" s="46">
        <f>I43</f>
        <v>14850</v>
      </c>
    </row>
    <row r="9" spans="1:10" x14ac:dyDescent="0.2">
      <c r="B9" s="12" t="s">
        <v>39</v>
      </c>
      <c r="C9" s="46">
        <f>I51</f>
        <v>9500</v>
      </c>
    </row>
    <row r="10" spans="1:10" x14ac:dyDescent="0.2">
      <c r="B10" s="12" t="s">
        <v>40</v>
      </c>
      <c r="C10" s="46">
        <f>I59</f>
        <v>11400</v>
      </c>
    </row>
    <row r="11" spans="1:10" x14ac:dyDescent="0.2">
      <c r="B11" s="12" t="s">
        <v>41</v>
      </c>
      <c r="C11" s="46">
        <f>I67</f>
        <v>13000</v>
      </c>
    </row>
    <row r="12" spans="1:10" x14ac:dyDescent="0.2">
      <c r="B12" s="12" t="s">
        <v>53</v>
      </c>
      <c r="C12" s="46">
        <f>I75</f>
        <v>7800</v>
      </c>
    </row>
    <row r="13" spans="1:10" x14ac:dyDescent="0.2">
      <c r="B13" s="12" t="s">
        <v>54</v>
      </c>
      <c r="C13" s="46">
        <f>I83</f>
        <v>11100</v>
      </c>
    </row>
    <row r="14" spans="1:10" x14ac:dyDescent="0.2">
      <c r="B14" s="12" t="s">
        <v>55</v>
      </c>
      <c r="C14" s="46">
        <f>I91</f>
        <v>12300</v>
      </c>
    </row>
    <row r="15" spans="1:10" x14ac:dyDescent="0.2">
      <c r="B15" s="12" t="s">
        <v>56</v>
      </c>
      <c r="C15" s="46">
        <f>I99</f>
        <v>14600</v>
      </c>
    </row>
    <row r="16" spans="1:10" x14ac:dyDescent="0.2">
      <c r="B16" s="12" t="s">
        <v>57</v>
      </c>
      <c r="C16" s="46">
        <f>I107</f>
        <v>10485</v>
      </c>
    </row>
    <row r="17" spans="1:9" x14ac:dyDescent="0.2">
      <c r="B17" s="12" t="s">
        <v>58</v>
      </c>
      <c r="C17" s="46">
        <f>I115</f>
        <v>13700</v>
      </c>
    </row>
    <row r="18" spans="1:9" x14ac:dyDescent="0.2">
      <c r="C18" s="25"/>
      <c r="E18" s="43"/>
    </row>
    <row r="19" spans="1:9" s="25" customFormat="1" x14ac:dyDescent="0.2">
      <c r="B19" s="26" t="s">
        <v>42</v>
      </c>
      <c r="C19" s="46">
        <f>SUM(C6:C18)</f>
        <v>142685</v>
      </c>
    </row>
    <row r="20" spans="1:9" x14ac:dyDescent="0.2">
      <c r="B20" s="12"/>
    </row>
    <row r="21" spans="1:9" ht="18" x14ac:dyDescent="0.25">
      <c r="A21" s="33" t="s">
        <v>51</v>
      </c>
    </row>
    <row r="22" spans="1:9" s="34" customFormat="1" x14ac:dyDescent="0.2">
      <c r="C22" s="36" t="s">
        <v>43</v>
      </c>
      <c r="D22" s="36" t="s">
        <v>44</v>
      </c>
      <c r="E22" s="36" t="s">
        <v>45</v>
      </c>
      <c r="F22" s="36" t="s">
        <v>46</v>
      </c>
      <c r="G22" s="36" t="s">
        <v>52</v>
      </c>
      <c r="H22" s="36" t="s">
        <v>47</v>
      </c>
      <c r="I22" s="34" t="s">
        <v>49</v>
      </c>
    </row>
    <row r="23" spans="1:9" x14ac:dyDescent="0.2">
      <c r="A23" s="12" t="s">
        <v>36</v>
      </c>
      <c r="C23" t="s">
        <v>73</v>
      </c>
      <c r="D23" t="s">
        <v>86</v>
      </c>
      <c r="E23" s="37">
        <v>2450</v>
      </c>
      <c r="F23">
        <v>100</v>
      </c>
      <c r="G23" t="s">
        <v>74</v>
      </c>
      <c r="H23" s="22" t="s">
        <v>78</v>
      </c>
      <c r="I23" s="37">
        <f>SUM(E23*F23/100)</f>
        <v>2450</v>
      </c>
    </row>
    <row r="24" spans="1:9" x14ac:dyDescent="0.2">
      <c r="C24" t="s">
        <v>75</v>
      </c>
      <c r="D24" t="s">
        <v>86</v>
      </c>
      <c r="E24" s="37">
        <v>3100</v>
      </c>
      <c r="F24">
        <v>100</v>
      </c>
      <c r="G24" t="s">
        <v>76</v>
      </c>
      <c r="H24" s="22" t="s">
        <v>79</v>
      </c>
      <c r="I24" s="37">
        <f>SUM(E24*F24/100)</f>
        <v>3100</v>
      </c>
    </row>
    <row r="25" spans="1:9" x14ac:dyDescent="0.2">
      <c r="C25" t="s">
        <v>77</v>
      </c>
      <c r="D25" t="s">
        <v>50</v>
      </c>
      <c r="E25" s="37">
        <v>3000</v>
      </c>
      <c r="F25">
        <v>100</v>
      </c>
      <c r="G25" t="s">
        <v>144</v>
      </c>
      <c r="H25" s="22" t="s">
        <v>80</v>
      </c>
      <c r="I25" s="37">
        <f>SUM(E25*F25/100)</f>
        <v>3000</v>
      </c>
    </row>
    <row r="26" spans="1:9" x14ac:dyDescent="0.2">
      <c r="C26" t="s">
        <v>170</v>
      </c>
      <c r="D26" t="s">
        <v>86</v>
      </c>
      <c r="E26" s="37">
        <v>4500</v>
      </c>
      <c r="F26">
        <v>100</v>
      </c>
      <c r="G26" t="s">
        <v>171</v>
      </c>
      <c r="H26" s="22" t="s">
        <v>172</v>
      </c>
      <c r="I26" s="37">
        <f>SUM(E26*F26/100)</f>
        <v>4500</v>
      </c>
    </row>
    <row r="27" spans="1:9" x14ac:dyDescent="0.2">
      <c r="B27" s="14" t="s">
        <v>60</v>
      </c>
      <c r="E27" s="37">
        <f>SUM(E23:E26)</f>
        <v>13050</v>
      </c>
      <c r="I27" s="45">
        <f>SUM(I23:I26)</f>
        <v>13050</v>
      </c>
    </row>
    <row r="28" spans="1:9" x14ac:dyDescent="0.2">
      <c r="B28" s="14"/>
      <c r="E28" s="37"/>
      <c r="I28" s="37"/>
    </row>
    <row r="29" spans="1:9" s="41" customFormat="1" x14ac:dyDescent="0.2"/>
    <row r="30" spans="1:9" x14ac:dyDescent="0.2">
      <c r="A30" s="34"/>
      <c r="B30" s="34"/>
      <c r="C30" s="36" t="s">
        <v>43</v>
      </c>
      <c r="D30" s="36" t="s">
        <v>44</v>
      </c>
      <c r="E30" s="36" t="s">
        <v>45</v>
      </c>
      <c r="F30" s="36" t="s">
        <v>46</v>
      </c>
      <c r="G30" s="36" t="s">
        <v>52</v>
      </c>
      <c r="H30" s="36" t="s">
        <v>47</v>
      </c>
      <c r="I30" s="34" t="s">
        <v>49</v>
      </c>
    </row>
    <row r="31" spans="1:9" x14ac:dyDescent="0.2">
      <c r="A31" s="12" t="s">
        <v>37</v>
      </c>
      <c r="C31" t="s">
        <v>83</v>
      </c>
      <c r="D31" t="s">
        <v>86</v>
      </c>
      <c r="E31" s="37">
        <v>3900</v>
      </c>
      <c r="F31">
        <v>100</v>
      </c>
      <c r="G31" t="s">
        <v>84</v>
      </c>
      <c r="H31" s="22" t="s">
        <v>85</v>
      </c>
      <c r="I31" s="37">
        <f>SUM(E31*F31/100)</f>
        <v>3900</v>
      </c>
    </row>
    <row r="32" spans="1:9" x14ac:dyDescent="0.2">
      <c r="C32" t="s">
        <v>82</v>
      </c>
      <c r="D32" t="s">
        <v>86</v>
      </c>
      <c r="E32" s="37">
        <v>2800</v>
      </c>
      <c r="F32">
        <v>100</v>
      </c>
      <c r="G32" t="s">
        <v>91</v>
      </c>
      <c r="H32" s="22" t="s">
        <v>88</v>
      </c>
      <c r="I32" s="37">
        <f>SUM(E32*F32/100)</f>
        <v>2800</v>
      </c>
    </row>
    <row r="33" spans="1:9" x14ac:dyDescent="0.2">
      <c r="C33" t="s">
        <v>77</v>
      </c>
      <c r="D33" t="s">
        <v>48</v>
      </c>
      <c r="E33" s="37">
        <v>4200</v>
      </c>
      <c r="F33">
        <v>100</v>
      </c>
      <c r="G33" t="s">
        <v>145</v>
      </c>
      <c r="H33" s="22" t="s">
        <v>87</v>
      </c>
      <c r="I33" s="37">
        <f>SUM(E33*F33/100)</f>
        <v>4200</v>
      </c>
    </row>
    <row r="34" spans="1:9" x14ac:dyDescent="0.2">
      <c r="E34" s="37"/>
      <c r="H34" s="22"/>
      <c r="I34" s="37"/>
    </row>
    <row r="35" spans="1:9" x14ac:dyDescent="0.2">
      <c r="B35" s="14" t="s">
        <v>60</v>
      </c>
      <c r="E35" s="37">
        <f>SUM(E31:E34)</f>
        <v>10900</v>
      </c>
      <c r="I35" s="45">
        <f>SUM(I31:I34)</f>
        <v>10900</v>
      </c>
    </row>
    <row r="37" spans="1:9" s="32" customFormat="1" x14ac:dyDescent="0.2"/>
    <row r="38" spans="1:9" x14ac:dyDescent="0.2">
      <c r="A38" s="34"/>
      <c r="B38" s="34"/>
      <c r="C38" s="36" t="s">
        <v>43</v>
      </c>
      <c r="D38" s="36" t="s">
        <v>44</v>
      </c>
      <c r="E38" s="36" t="s">
        <v>45</v>
      </c>
      <c r="F38" s="36" t="s">
        <v>46</v>
      </c>
      <c r="G38" s="36" t="s">
        <v>52</v>
      </c>
      <c r="H38" s="36" t="s">
        <v>47</v>
      </c>
      <c r="I38" s="34" t="s">
        <v>49</v>
      </c>
    </row>
    <row r="39" spans="1:9" x14ac:dyDescent="0.2">
      <c r="A39" s="12" t="s">
        <v>38</v>
      </c>
      <c r="C39" t="s">
        <v>83</v>
      </c>
      <c r="D39" t="s">
        <v>86</v>
      </c>
      <c r="E39" s="37">
        <v>3600</v>
      </c>
      <c r="F39">
        <v>100</v>
      </c>
      <c r="G39" t="s">
        <v>90</v>
      </c>
      <c r="H39" s="22" t="s">
        <v>118</v>
      </c>
      <c r="I39" s="37">
        <f>SUM(E39*F39/100)</f>
        <v>3600</v>
      </c>
    </row>
    <row r="40" spans="1:9" x14ac:dyDescent="0.2">
      <c r="C40" t="s">
        <v>83</v>
      </c>
      <c r="D40" t="s">
        <v>86</v>
      </c>
      <c r="E40" s="37">
        <v>3800</v>
      </c>
      <c r="F40">
        <v>100</v>
      </c>
      <c r="G40" t="s">
        <v>89</v>
      </c>
      <c r="H40" s="22" t="s">
        <v>119</v>
      </c>
      <c r="I40" s="37">
        <f>SUM(E40*F40/100)</f>
        <v>3800</v>
      </c>
    </row>
    <row r="41" spans="1:9" x14ac:dyDescent="0.2">
      <c r="C41" t="s">
        <v>93</v>
      </c>
      <c r="D41" t="s">
        <v>107</v>
      </c>
      <c r="E41" s="37">
        <v>3450</v>
      </c>
      <c r="F41">
        <v>100</v>
      </c>
      <c r="G41" t="s">
        <v>146</v>
      </c>
      <c r="H41" s="22" t="s">
        <v>174</v>
      </c>
      <c r="I41" s="37">
        <f>SUM(E41*F41/100)</f>
        <v>3450</v>
      </c>
    </row>
    <row r="42" spans="1:9" x14ac:dyDescent="0.2">
      <c r="C42" t="s">
        <v>170</v>
      </c>
      <c r="D42" t="s">
        <v>86</v>
      </c>
      <c r="E42" s="37">
        <v>4000</v>
      </c>
      <c r="F42">
        <v>100</v>
      </c>
      <c r="G42" t="s">
        <v>173</v>
      </c>
      <c r="H42" s="22" t="s">
        <v>175</v>
      </c>
      <c r="I42" s="37">
        <f>SUM(E42*F42/100)</f>
        <v>4000</v>
      </c>
    </row>
    <row r="43" spans="1:9" x14ac:dyDescent="0.2">
      <c r="B43" s="14" t="s">
        <v>60</v>
      </c>
      <c r="E43" s="37">
        <f>SUM(E39:E42)</f>
        <v>14850</v>
      </c>
      <c r="I43" s="45">
        <f>SUM(I39:I42)</f>
        <v>14850</v>
      </c>
    </row>
    <row r="45" spans="1:9" s="32" customFormat="1" x14ac:dyDescent="0.2"/>
    <row r="46" spans="1:9" x14ac:dyDescent="0.2">
      <c r="A46" s="34"/>
      <c r="B46" s="34"/>
      <c r="C46" s="36" t="s">
        <v>43</v>
      </c>
      <c r="D46" s="36" t="s">
        <v>44</v>
      </c>
      <c r="E46" s="36" t="s">
        <v>45</v>
      </c>
      <c r="F46" s="36" t="s">
        <v>46</v>
      </c>
      <c r="G46" s="36" t="s">
        <v>52</v>
      </c>
      <c r="H46" s="36" t="s">
        <v>47</v>
      </c>
      <c r="I46" s="34" t="s">
        <v>49</v>
      </c>
    </row>
    <row r="47" spans="1:9" x14ac:dyDescent="0.2">
      <c r="A47" s="12" t="s">
        <v>39</v>
      </c>
      <c r="C47" s="22"/>
      <c r="E47" s="37"/>
      <c r="G47" s="22"/>
      <c r="H47" s="22"/>
      <c r="I47" s="37"/>
    </row>
    <row r="48" spans="1:9" x14ac:dyDescent="0.2">
      <c r="C48" s="22" t="s">
        <v>93</v>
      </c>
      <c r="D48" s="22" t="s">
        <v>50</v>
      </c>
      <c r="E48" s="37">
        <v>2500</v>
      </c>
      <c r="F48">
        <v>100</v>
      </c>
      <c r="G48" s="22" t="s">
        <v>149</v>
      </c>
      <c r="H48" s="22" t="s">
        <v>120</v>
      </c>
      <c r="I48" s="37">
        <f>SUM(E48*F48/100)</f>
        <v>2500</v>
      </c>
    </row>
    <row r="49" spans="1:9" x14ac:dyDescent="0.2">
      <c r="C49" s="22" t="s">
        <v>92</v>
      </c>
      <c r="D49" t="s">
        <v>50</v>
      </c>
      <c r="E49" s="37">
        <v>3500</v>
      </c>
      <c r="F49">
        <v>100</v>
      </c>
      <c r="G49" s="22" t="s">
        <v>94</v>
      </c>
      <c r="H49" s="22" t="s">
        <v>121</v>
      </c>
      <c r="I49" s="37">
        <f>SUM(E49*F49/100)</f>
        <v>3500</v>
      </c>
    </row>
    <row r="50" spans="1:9" x14ac:dyDescent="0.2">
      <c r="C50" s="22" t="s">
        <v>147</v>
      </c>
      <c r="D50" t="s">
        <v>48</v>
      </c>
      <c r="E50" s="37">
        <v>3500</v>
      </c>
      <c r="F50">
        <v>100</v>
      </c>
      <c r="G50" s="22" t="s">
        <v>148</v>
      </c>
      <c r="H50" s="22" t="s">
        <v>122</v>
      </c>
      <c r="I50" s="37">
        <f>SUM(E50*F50/100)</f>
        <v>3500</v>
      </c>
    </row>
    <row r="51" spans="1:9" x14ac:dyDescent="0.2">
      <c r="B51" s="14" t="s">
        <v>60</v>
      </c>
      <c r="E51" s="37">
        <f>SUM(E47:E50)</f>
        <v>9500</v>
      </c>
      <c r="I51" s="45">
        <f>SUM(I47:I50)</f>
        <v>9500</v>
      </c>
    </row>
    <row r="53" spans="1:9" s="32" customFormat="1" x14ac:dyDescent="0.2"/>
    <row r="54" spans="1:9" x14ac:dyDescent="0.2">
      <c r="A54" s="34"/>
      <c r="B54" s="34"/>
      <c r="C54" s="36" t="s">
        <v>43</v>
      </c>
      <c r="D54" s="36" t="s">
        <v>44</v>
      </c>
      <c r="E54" s="36" t="s">
        <v>45</v>
      </c>
      <c r="F54" s="36" t="s">
        <v>46</v>
      </c>
      <c r="G54" s="36" t="s">
        <v>52</v>
      </c>
      <c r="H54" s="36" t="s">
        <v>47</v>
      </c>
      <c r="I54" s="34" t="s">
        <v>49</v>
      </c>
    </row>
    <row r="55" spans="1:9" x14ac:dyDescent="0.2">
      <c r="A55" s="12" t="s">
        <v>40</v>
      </c>
      <c r="C55" t="s">
        <v>93</v>
      </c>
      <c r="D55" t="s">
        <v>48</v>
      </c>
      <c r="E55" s="37">
        <v>5400</v>
      </c>
      <c r="F55">
        <v>100</v>
      </c>
      <c r="G55" t="s">
        <v>150</v>
      </c>
      <c r="H55" s="22" t="s">
        <v>123</v>
      </c>
      <c r="I55" s="37">
        <f>SUM(E55*F55/100)</f>
        <v>5400</v>
      </c>
    </row>
    <row r="56" spans="1:9" x14ac:dyDescent="0.2">
      <c r="C56" t="s">
        <v>92</v>
      </c>
      <c r="D56" t="s">
        <v>48</v>
      </c>
      <c r="E56" s="37">
        <v>6000</v>
      </c>
      <c r="F56">
        <v>100</v>
      </c>
      <c r="G56" t="s">
        <v>151</v>
      </c>
      <c r="H56" s="22" t="s">
        <v>124</v>
      </c>
      <c r="I56" s="37">
        <f>SUM(E56*F56/100)</f>
        <v>6000</v>
      </c>
    </row>
    <row r="57" spans="1:9" x14ac:dyDescent="0.2">
      <c r="E57" s="37"/>
      <c r="H57" s="22"/>
      <c r="I57" s="37"/>
    </row>
    <row r="58" spans="1:9" x14ac:dyDescent="0.2">
      <c r="E58" s="37">
        <v>0</v>
      </c>
      <c r="F58">
        <v>0</v>
      </c>
      <c r="H58" s="22" t="s">
        <v>125</v>
      </c>
      <c r="I58" s="37">
        <f>SUM(E58*F58/100)</f>
        <v>0</v>
      </c>
    </row>
    <row r="59" spans="1:9" x14ac:dyDescent="0.2">
      <c r="B59" s="14" t="s">
        <v>60</v>
      </c>
      <c r="E59" s="37">
        <f>SUM(E55:E58)</f>
        <v>11400</v>
      </c>
      <c r="I59" s="45">
        <f>SUM(I55:I58)</f>
        <v>11400</v>
      </c>
    </row>
    <row r="61" spans="1:9" s="32" customFormat="1" x14ac:dyDescent="0.2"/>
    <row r="62" spans="1:9" x14ac:dyDescent="0.2">
      <c r="A62" s="34"/>
      <c r="B62" s="34"/>
      <c r="C62" s="36" t="s">
        <v>43</v>
      </c>
      <c r="D62" s="36" t="s">
        <v>44</v>
      </c>
      <c r="E62" s="36" t="s">
        <v>45</v>
      </c>
      <c r="F62" s="36" t="s">
        <v>46</v>
      </c>
      <c r="G62" s="36" t="s">
        <v>52</v>
      </c>
      <c r="H62" s="36" t="s">
        <v>47</v>
      </c>
      <c r="I62" s="34" t="s">
        <v>49</v>
      </c>
    </row>
    <row r="63" spans="1:9" x14ac:dyDescent="0.2">
      <c r="A63" s="12" t="s">
        <v>41</v>
      </c>
      <c r="C63" t="s">
        <v>77</v>
      </c>
      <c r="D63" t="s">
        <v>48</v>
      </c>
      <c r="E63" s="37">
        <v>5500</v>
      </c>
      <c r="F63">
        <v>100</v>
      </c>
      <c r="G63" t="s">
        <v>152</v>
      </c>
      <c r="H63" s="22" t="s">
        <v>126</v>
      </c>
      <c r="I63" s="37">
        <f>SUM(E63*F63/100)</f>
        <v>5500</v>
      </c>
    </row>
    <row r="64" spans="1:9" x14ac:dyDescent="0.2">
      <c r="C64" t="s">
        <v>95</v>
      </c>
      <c r="D64" t="s">
        <v>48</v>
      </c>
      <c r="E64" s="37">
        <v>7500</v>
      </c>
      <c r="F64">
        <v>100</v>
      </c>
      <c r="G64" t="s">
        <v>96</v>
      </c>
      <c r="H64" s="22" t="s">
        <v>127</v>
      </c>
      <c r="I64" s="37">
        <f>SUM(E64*F64/100)</f>
        <v>7500</v>
      </c>
    </row>
    <row r="65" spans="1:9" x14ac:dyDescent="0.2">
      <c r="E65" s="37"/>
      <c r="H65" s="22"/>
      <c r="I65" s="37"/>
    </row>
    <row r="66" spans="1:9" x14ac:dyDescent="0.2">
      <c r="E66" s="37">
        <v>0</v>
      </c>
      <c r="F66">
        <v>0</v>
      </c>
      <c r="H66" s="22"/>
      <c r="I66" s="37">
        <f>SUM(E66*F66/100)</f>
        <v>0</v>
      </c>
    </row>
    <row r="67" spans="1:9" x14ac:dyDescent="0.2">
      <c r="B67" s="14" t="s">
        <v>60</v>
      </c>
      <c r="E67" s="37">
        <f>SUM(E63:E66)</f>
        <v>13000</v>
      </c>
      <c r="I67" s="45">
        <f>SUM(I63:I66)</f>
        <v>13000</v>
      </c>
    </row>
    <row r="69" spans="1:9" s="32" customFormat="1" x14ac:dyDescent="0.2"/>
    <row r="70" spans="1:9" x14ac:dyDescent="0.2">
      <c r="A70" s="34"/>
      <c r="B70" s="34"/>
      <c r="C70" s="36" t="s">
        <v>43</v>
      </c>
      <c r="D70" s="36" t="s">
        <v>44</v>
      </c>
      <c r="E70" s="36" t="s">
        <v>45</v>
      </c>
      <c r="F70" s="36" t="s">
        <v>46</v>
      </c>
      <c r="G70" s="36" t="s">
        <v>52</v>
      </c>
      <c r="H70" s="36" t="s">
        <v>47</v>
      </c>
      <c r="I70" s="34" t="s">
        <v>49</v>
      </c>
    </row>
    <row r="71" spans="1:9" x14ac:dyDescent="0.2">
      <c r="A71" s="12" t="s">
        <v>53</v>
      </c>
      <c r="C71" t="s">
        <v>97</v>
      </c>
      <c r="D71" t="s">
        <v>86</v>
      </c>
      <c r="E71" s="37">
        <v>7800</v>
      </c>
      <c r="F71">
        <v>100</v>
      </c>
      <c r="G71" t="s">
        <v>157</v>
      </c>
      <c r="H71" s="22" t="s">
        <v>128</v>
      </c>
      <c r="I71" s="37">
        <f>SUM(E71*F71/100)</f>
        <v>7800</v>
      </c>
    </row>
    <row r="72" spans="1:9" x14ac:dyDescent="0.2">
      <c r="C72" t="s">
        <v>176</v>
      </c>
      <c r="D72" t="s">
        <v>177</v>
      </c>
      <c r="E72" s="37">
        <v>3200</v>
      </c>
      <c r="F72">
        <v>100</v>
      </c>
      <c r="G72" t="s">
        <v>178</v>
      </c>
      <c r="H72" s="22" t="s">
        <v>179</v>
      </c>
      <c r="I72" s="37"/>
    </row>
    <row r="73" spans="1:9" x14ac:dyDescent="0.2">
      <c r="C73" t="s">
        <v>147</v>
      </c>
      <c r="D73" t="s">
        <v>153</v>
      </c>
      <c r="E73" s="37">
        <v>300</v>
      </c>
      <c r="F73">
        <v>100</v>
      </c>
      <c r="G73" t="s">
        <v>154</v>
      </c>
      <c r="H73" s="22" t="s">
        <v>130</v>
      </c>
      <c r="I73" s="37"/>
    </row>
    <row r="74" spans="1:9" x14ac:dyDescent="0.2">
      <c r="E74" s="37"/>
      <c r="H74" s="22"/>
      <c r="I74" s="37">
        <f>SUM(E74*F74/100)</f>
        <v>0</v>
      </c>
    </row>
    <row r="75" spans="1:9" x14ac:dyDescent="0.2">
      <c r="B75" s="14" t="s">
        <v>60</v>
      </c>
      <c r="E75" s="37">
        <f>SUM(E71:E74)</f>
        <v>11300</v>
      </c>
      <c r="I75" s="45">
        <f>SUM(I71:I74)</f>
        <v>7800</v>
      </c>
    </row>
    <row r="77" spans="1:9" s="32" customFormat="1" x14ac:dyDescent="0.2"/>
    <row r="78" spans="1:9" x14ac:dyDescent="0.2">
      <c r="A78" s="34"/>
      <c r="B78" s="34"/>
      <c r="C78" s="36" t="s">
        <v>43</v>
      </c>
      <c r="D78" s="36" t="s">
        <v>44</v>
      </c>
      <c r="E78" s="36" t="s">
        <v>45</v>
      </c>
      <c r="F78" s="36" t="s">
        <v>46</v>
      </c>
      <c r="G78" s="36" t="s">
        <v>52</v>
      </c>
      <c r="H78" s="36" t="s">
        <v>47</v>
      </c>
      <c r="I78" s="34" t="s">
        <v>49</v>
      </c>
    </row>
    <row r="79" spans="1:9" x14ac:dyDescent="0.2">
      <c r="A79" s="12" t="s">
        <v>54</v>
      </c>
      <c r="C79" t="s">
        <v>81</v>
      </c>
      <c r="D79" t="s">
        <v>86</v>
      </c>
      <c r="E79" s="37">
        <v>3400</v>
      </c>
      <c r="F79">
        <v>100</v>
      </c>
      <c r="G79" t="s">
        <v>99</v>
      </c>
      <c r="H79" s="22" t="s">
        <v>131</v>
      </c>
      <c r="I79" s="37">
        <f>SUM(E79*F79/100)</f>
        <v>3400</v>
      </c>
    </row>
    <row r="80" spans="1:9" x14ac:dyDescent="0.2">
      <c r="C80" t="s">
        <v>81</v>
      </c>
      <c r="D80" t="s">
        <v>86</v>
      </c>
      <c r="E80" s="37">
        <v>3200</v>
      </c>
      <c r="F80">
        <v>100</v>
      </c>
      <c r="G80" t="s">
        <v>100</v>
      </c>
      <c r="H80" s="22" t="s">
        <v>131</v>
      </c>
      <c r="I80" s="37">
        <f>SUM(E80*F80/100)</f>
        <v>3200</v>
      </c>
    </row>
    <row r="81" spans="1:9" x14ac:dyDescent="0.2">
      <c r="C81" t="s">
        <v>101</v>
      </c>
      <c r="D81" t="s">
        <v>107</v>
      </c>
      <c r="E81" s="37">
        <v>4500</v>
      </c>
      <c r="F81">
        <v>100</v>
      </c>
      <c r="G81" t="s">
        <v>102</v>
      </c>
      <c r="H81" s="22" t="s">
        <v>132</v>
      </c>
      <c r="I81" s="37">
        <f>SUM(E81*F81/100)</f>
        <v>4500</v>
      </c>
    </row>
    <row r="82" spans="1:9" x14ac:dyDescent="0.2">
      <c r="C82" t="s">
        <v>155</v>
      </c>
      <c r="D82" t="s">
        <v>86</v>
      </c>
      <c r="E82" s="37">
        <v>5000</v>
      </c>
      <c r="F82">
        <v>100</v>
      </c>
      <c r="G82" t="s">
        <v>156</v>
      </c>
      <c r="H82" s="22"/>
      <c r="I82" s="37"/>
    </row>
    <row r="83" spans="1:9" x14ac:dyDescent="0.2">
      <c r="B83" s="14" t="s">
        <v>60</v>
      </c>
      <c r="E83" s="37">
        <f>SUM(E79:E82)</f>
        <v>16100</v>
      </c>
      <c r="I83" s="45">
        <f>SUM(I79:I82)</f>
        <v>11100</v>
      </c>
    </row>
    <row r="85" spans="1:9" s="32" customFormat="1" x14ac:dyDescent="0.2"/>
    <row r="86" spans="1:9" x14ac:dyDescent="0.2">
      <c r="A86" s="34"/>
      <c r="B86" s="34"/>
      <c r="C86" s="36" t="s">
        <v>43</v>
      </c>
      <c r="D86" s="36" t="s">
        <v>44</v>
      </c>
      <c r="E86" s="36" t="s">
        <v>45</v>
      </c>
      <c r="F86" s="36" t="s">
        <v>46</v>
      </c>
      <c r="G86" s="36" t="s">
        <v>52</v>
      </c>
      <c r="H86" s="36" t="s">
        <v>47</v>
      </c>
      <c r="I86" s="34" t="s">
        <v>49</v>
      </c>
    </row>
    <row r="87" spans="1:9" x14ac:dyDescent="0.2">
      <c r="A87" s="12" t="s">
        <v>55</v>
      </c>
      <c r="C87" t="s">
        <v>103</v>
      </c>
      <c r="D87" t="s">
        <v>86</v>
      </c>
      <c r="E87" s="37">
        <v>3000</v>
      </c>
      <c r="F87">
        <v>100</v>
      </c>
      <c r="G87" t="s">
        <v>104</v>
      </c>
      <c r="H87" s="22" t="s">
        <v>133</v>
      </c>
      <c r="I87" s="37">
        <f>SUM(E87*F87/100)</f>
        <v>3000</v>
      </c>
    </row>
    <row r="88" spans="1:9" x14ac:dyDescent="0.2">
      <c r="C88" t="s">
        <v>105</v>
      </c>
      <c r="D88" t="s">
        <v>48</v>
      </c>
      <c r="E88" s="37">
        <v>6000</v>
      </c>
      <c r="F88">
        <v>100</v>
      </c>
      <c r="G88" t="s">
        <v>106</v>
      </c>
      <c r="H88" s="22" t="s">
        <v>134</v>
      </c>
      <c r="I88" s="37">
        <f>SUM(E88*F88/100)</f>
        <v>6000</v>
      </c>
    </row>
    <row r="89" spans="1:9" x14ac:dyDescent="0.2">
      <c r="C89" t="s">
        <v>108</v>
      </c>
      <c r="D89" t="s">
        <v>48</v>
      </c>
      <c r="E89" s="37">
        <v>300</v>
      </c>
      <c r="F89">
        <v>100</v>
      </c>
      <c r="G89" t="s">
        <v>158</v>
      </c>
      <c r="H89" s="22" t="s">
        <v>135</v>
      </c>
      <c r="I89" s="37">
        <f>SUM(E89*F89/100)</f>
        <v>300</v>
      </c>
    </row>
    <row r="90" spans="1:9" x14ac:dyDescent="0.2">
      <c r="C90" t="s">
        <v>95</v>
      </c>
      <c r="D90" t="s">
        <v>86</v>
      </c>
      <c r="E90" s="37">
        <v>3000</v>
      </c>
      <c r="F90">
        <v>100</v>
      </c>
      <c r="G90" t="s">
        <v>98</v>
      </c>
      <c r="H90" s="22" t="s">
        <v>129</v>
      </c>
      <c r="I90" s="37">
        <f>SUM(E90*F90/100)</f>
        <v>3000</v>
      </c>
    </row>
    <row r="91" spans="1:9" x14ac:dyDescent="0.2">
      <c r="B91" s="14" t="s">
        <v>60</v>
      </c>
      <c r="E91" s="37">
        <f>SUM(E87:E90)</f>
        <v>12300</v>
      </c>
      <c r="I91" s="45">
        <f>SUM(I87:I90)</f>
        <v>12300</v>
      </c>
    </row>
    <row r="93" spans="1:9" s="32" customFormat="1" x14ac:dyDescent="0.2"/>
    <row r="94" spans="1:9" x14ac:dyDescent="0.2">
      <c r="A94" s="34"/>
      <c r="B94" s="34"/>
      <c r="C94" s="36" t="s">
        <v>43</v>
      </c>
      <c r="D94" s="36" t="s">
        <v>44</v>
      </c>
      <c r="E94" s="36" t="s">
        <v>45</v>
      </c>
      <c r="F94" s="36" t="s">
        <v>46</v>
      </c>
      <c r="G94" s="36" t="s">
        <v>52</v>
      </c>
      <c r="H94" s="36" t="s">
        <v>47</v>
      </c>
      <c r="I94" s="34" t="s">
        <v>49</v>
      </c>
    </row>
    <row r="95" spans="1:9" x14ac:dyDescent="0.2">
      <c r="A95" s="12" t="s">
        <v>56</v>
      </c>
      <c r="C95" t="s">
        <v>105</v>
      </c>
      <c r="D95" t="s">
        <v>48</v>
      </c>
      <c r="E95" s="37">
        <v>7600</v>
      </c>
      <c r="F95">
        <v>100</v>
      </c>
      <c r="G95" t="s">
        <v>109</v>
      </c>
      <c r="H95" s="22" t="s">
        <v>136</v>
      </c>
      <c r="I95" s="37">
        <f>SUM(E95*F95/100)</f>
        <v>7600</v>
      </c>
    </row>
    <row r="96" spans="1:9" x14ac:dyDescent="0.2">
      <c r="C96" t="s">
        <v>83</v>
      </c>
      <c r="D96" t="s">
        <v>86</v>
      </c>
      <c r="E96" s="37">
        <v>3400</v>
      </c>
      <c r="F96">
        <v>100</v>
      </c>
      <c r="G96" t="s">
        <v>110</v>
      </c>
      <c r="H96" s="22" t="s">
        <v>137</v>
      </c>
      <c r="I96" s="37">
        <f>SUM(E96*F96/100)</f>
        <v>3400</v>
      </c>
    </row>
    <row r="97" spans="1:9" x14ac:dyDescent="0.2">
      <c r="C97" t="s">
        <v>75</v>
      </c>
      <c r="D97" t="s">
        <v>86</v>
      </c>
      <c r="E97" s="37">
        <v>3600</v>
      </c>
      <c r="F97">
        <v>100</v>
      </c>
      <c r="G97" t="s">
        <v>111</v>
      </c>
      <c r="H97" s="22" t="s">
        <v>138</v>
      </c>
      <c r="I97" s="37">
        <f>SUM(E97*F97/100)</f>
        <v>3600</v>
      </c>
    </row>
    <row r="98" spans="1:9" x14ac:dyDescent="0.2">
      <c r="E98" s="37"/>
      <c r="H98" s="22"/>
      <c r="I98" s="37"/>
    </row>
    <row r="99" spans="1:9" x14ac:dyDescent="0.2">
      <c r="B99" s="14" t="s">
        <v>60</v>
      </c>
      <c r="E99" s="37">
        <f>SUM(E95:E98)</f>
        <v>14600</v>
      </c>
      <c r="I99" s="45">
        <f>SUM(I95:I98)</f>
        <v>14600</v>
      </c>
    </row>
    <row r="101" spans="1:9" s="32" customFormat="1" x14ac:dyDescent="0.2"/>
    <row r="102" spans="1:9" x14ac:dyDescent="0.2">
      <c r="A102" s="34"/>
      <c r="B102" s="34"/>
      <c r="C102" s="36" t="s">
        <v>43</v>
      </c>
      <c r="D102" s="36" t="s">
        <v>44</v>
      </c>
      <c r="E102" s="36" t="s">
        <v>45</v>
      </c>
      <c r="F102" s="36" t="s">
        <v>46</v>
      </c>
      <c r="G102" s="36" t="s">
        <v>52</v>
      </c>
      <c r="H102" s="36" t="s">
        <v>47</v>
      </c>
      <c r="I102" s="34" t="s">
        <v>49</v>
      </c>
    </row>
    <row r="103" spans="1:9" x14ac:dyDescent="0.2">
      <c r="A103" s="12" t="s">
        <v>57</v>
      </c>
      <c r="C103" t="s">
        <v>105</v>
      </c>
      <c r="D103" t="s">
        <v>86</v>
      </c>
      <c r="E103" s="37">
        <v>3900</v>
      </c>
      <c r="F103">
        <v>100</v>
      </c>
      <c r="G103" t="s">
        <v>112</v>
      </c>
      <c r="H103" s="22" t="s">
        <v>139</v>
      </c>
      <c r="I103" s="37">
        <f>SUM(E103*F103/100)</f>
        <v>3900</v>
      </c>
    </row>
    <row r="104" spans="1:9" x14ac:dyDescent="0.2">
      <c r="C104" t="s">
        <v>75</v>
      </c>
      <c r="D104" t="s">
        <v>86</v>
      </c>
      <c r="E104" s="37">
        <v>3500</v>
      </c>
      <c r="F104">
        <v>100</v>
      </c>
      <c r="G104" t="s">
        <v>113</v>
      </c>
      <c r="H104" s="22" t="s">
        <v>140</v>
      </c>
      <c r="I104" s="37">
        <f>SUM(E104*F104/100)</f>
        <v>3500</v>
      </c>
    </row>
    <row r="105" spans="1:9" x14ac:dyDescent="0.2">
      <c r="C105" t="s">
        <v>114</v>
      </c>
      <c r="D105" t="s">
        <v>86</v>
      </c>
      <c r="E105" s="37">
        <v>3085</v>
      </c>
      <c r="F105">
        <v>100</v>
      </c>
      <c r="G105" t="s">
        <v>159</v>
      </c>
      <c r="H105" s="22" t="s">
        <v>141</v>
      </c>
      <c r="I105" s="37">
        <f>SUM(E105*F105/100)</f>
        <v>3085</v>
      </c>
    </row>
    <row r="106" spans="1:9" x14ac:dyDescent="0.2">
      <c r="E106" s="37"/>
      <c r="H106" s="22"/>
      <c r="I106" s="37"/>
    </row>
    <row r="107" spans="1:9" x14ac:dyDescent="0.2">
      <c r="B107" s="14" t="s">
        <v>60</v>
      </c>
      <c r="E107" s="37">
        <f>SUM(E103:E106)</f>
        <v>10485</v>
      </c>
      <c r="I107" s="45">
        <f>SUM(I103:I106)</f>
        <v>10485</v>
      </c>
    </row>
    <row r="109" spans="1:9" s="32" customFormat="1" x14ac:dyDescent="0.2"/>
    <row r="110" spans="1:9" x14ac:dyDescent="0.2">
      <c r="A110" s="34"/>
      <c r="B110" s="34"/>
      <c r="C110" s="36" t="s">
        <v>43</v>
      </c>
      <c r="D110" s="36" t="s">
        <v>44</v>
      </c>
      <c r="E110" s="36" t="s">
        <v>45</v>
      </c>
      <c r="F110" s="36" t="s">
        <v>46</v>
      </c>
      <c r="G110" s="36" t="s">
        <v>52</v>
      </c>
      <c r="H110" s="36" t="s">
        <v>47</v>
      </c>
      <c r="I110" s="34" t="s">
        <v>49</v>
      </c>
    </row>
    <row r="111" spans="1:9" x14ac:dyDescent="0.2">
      <c r="A111" s="12" t="s">
        <v>58</v>
      </c>
      <c r="C111" t="s">
        <v>83</v>
      </c>
      <c r="D111" t="s">
        <v>86</v>
      </c>
      <c r="E111" s="37">
        <v>5000</v>
      </c>
      <c r="F111">
        <v>100</v>
      </c>
      <c r="G111" t="s">
        <v>115</v>
      </c>
      <c r="H111" s="22" t="s">
        <v>142</v>
      </c>
      <c r="I111" s="37">
        <f>SUM(E111*F111/100)</f>
        <v>5000</v>
      </c>
    </row>
    <row r="112" spans="1:9" x14ac:dyDescent="0.2">
      <c r="C112" t="s">
        <v>75</v>
      </c>
      <c r="D112" t="s">
        <v>86</v>
      </c>
      <c r="E112" s="37">
        <v>4600</v>
      </c>
      <c r="F112">
        <v>100</v>
      </c>
      <c r="G112" t="s">
        <v>116</v>
      </c>
      <c r="H112" s="22" t="s">
        <v>142</v>
      </c>
      <c r="I112" s="37">
        <f>SUM(E112*F112/100)</f>
        <v>4600</v>
      </c>
    </row>
    <row r="113" spans="2:9" x14ac:dyDescent="0.2">
      <c r="C113" t="s">
        <v>82</v>
      </c>
      <c r="D113" t="s">
        <v>86</v>
      </c>
      <c r="E113" s="37">
        <v>4100</v>
      </c>
      <c r="F113">
        <v>100</v>
      </c>
      <c r="G113" t="s">
        <v>117</v>
      </c>
      <c r="H113" s="22" t="s">
        <v>143</v>
      </c>
      <c r="I113" s="37">
        <f>SUM(E113*F113/100)</f>
        <v>4100</v>
      </c>
    </row>
    <row r="114" spans="2:9" x14ac:dyDescent="0.2">
      <c r="E114" s="37"/>
      <c r="H114" s="22"/>
      <c r="I114" s="37"/>
    </row>
    <row r="115" spans="2:9" x14ac:dyDescent="0.2">
      <c r="B115" s="14" t="s">
        <v>60</v>
      </c>
      <c r="E115" s="37">
        <f>SUM(E111:E114)</f>
        <v>13700</v>
      </c>
      <c r="I115" s="45">
        <f>SUM(I111:I114)</f>
        <v>13700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workbookViewId="0">
      <selection activeCell="O24" sqref="O24"/>
    </sheetView>
  </sheetViews>
  <sheetFormatPr defaultRowHeight="12.75" x14ac:dyDescent="0.2"/>
  <cols>
    <col min="1" max="1" width="40" customWidth="1"/>
  </cols>
  <sheetData>
    <row r="1" spans="1:13" s="21" customFormat="1" ht="18" customHeight="1" x14ac:dyDescent="0.25">
      <c r="A1" s="2" t="s">
        <v>160</v>
      </c>
    </row>
    <row r="3" spans="1:13" s="24" customFormat="1" x14ac:dyDescent="0.2">
      <c r="A3" s="24" t="s">
        <v>31</v>
      </c>
      <c r="B3" s="24">
        <v>1</v>
      </c>
      <c r="C3" s="24">
        <v>2</v>
      </c>
      <c r="D3" s="24">
        <v>3</v>
      </c>
      <c r="E3" s="24">
        <v>4</v>
      </c>
      <c r="F3" s="24">
        <v>5</v>
      </c>
      <c r="G3" s="24">
        <v>6</v>
      </c>
      <c r="H3" s="24">
        <v>7</v>
      </c>
      <c r="I3" s="24">
        <v>8</v>
      </c>
      <c r="J3" s="24">
        <v>9</v>
      </c>
      <c r="K3" s="24">
        <v>10</v>
      </c>
      <c r="L3" s="24">
        <v>11</v>
      </c>
      <c r="M3" s="24">
        <v>12</v>
      </c>
    </row>
    <row r="4" spans="1:13" s="23" customFormat="1" x14ac:dyDescent="0.2">
      <c r="B4" s="23">
        <v>0</v>
      </c>
      <c r="C4" s="23">
        <f t="shared" ref="C4:M4" si="0">B47</f>
        <v>16960.07</v>
      </c>
      <c r="D4" s="23">
        <f t="shared" si="0"/>
        <v>17340.11</v>
      </c>
      <c r="E4" s="23">
        <f t="shared" si="0"/>
        <v>22460.15</v>
      </c>
      <c r="F4" s="23">
        <f t="shared" si="0"/>
        <v>21160.190000000002</v>
      </c>
      <c r="G4" s="23">
        <f t="shared" si="0"/>
        <v>22140.230000000003</v>
      </c>
      <c r="H4" s="23">
        <f t="shared" si="0"/>
        <v>25040.270000000004</v>
      </c>
      <c r="I4" s="23">
        <f t="shared" si="0"/>
        <v>21600.310000000005</v>
      </c>
      <c r="J4" s="23">
        <f t="shared" si="0"/>
        <v>22220.350000000006</v>
      </c>
      <c r="K4" s="23">
        <f t="shared" si="0"/>
        <v>24280.390000000007</v>
      </c>
      <c r="L4" s="23">
        <f t="shared" si="0"/>
        <v>29100.430000000008</v>
      </c>
      <c r="M4" s="23">
        <f t="shared" si="0"/>
        <v>28982.470000000008</v>
      </c>
    </row>
    <row r="5" spans="1:13" s="25" customFormat="1" x14ac:dyDescent="0.2">
      <c r="A5" s="26" t="s">
        <v>34</v>
      </c>
    </row>
    <row r="6" spans="1:13" x14ac:dyDescent="0.2">
      <c r="A6" s="12"/>
    </row>
    <row r="7" spans="1:13" x14ac:dyDescent="0.2">
      <c r="A7" t="s">
        <v>32</v>
      </c>
      <c r="B7">
        <v>13050</v>
      </c>
      <c r="C7">
        <v>10900</v>
      </c>
      <c r="D7">
        <v>14850</v>
      </c>
      <c r="E7">
        <v>9500</v>
      </c>
      <c r="F7">
        <v>11400</v>
      </c>
      <c r="G7">
        <v>13000</v>
      </c>
      <c r="H7">
        <v>7800</v>
      </c>
      <c r="I7">
        <v>11100</v>
      </c>
      <c r="J7">
        <v>12300</v>
      </c>
      <c r="K7">
        <v>14600</v>
      </c>
      <c r="L7">
        <v>10485</v>
      </c>
      <c r="M7">
        <v>13700</v>
      </c>
    </row>
    <row r="8" spans="1:13" x14ac:dyDescent="0.2">
      <c r="A8" t="s">
        <v>17</v>
      </c>
      <c r="B8">
        <f>B7*0.2</f>
        <v>2610</v>
      </c>
      <c r="C8">
        <f t="shared" ref="C8:M8" si="1">C7*0.2</f>
        <v>2180</v>
      </c>
      <c r="D8">
        <f t="shared" si="1"/>
        <v>2970</v>
      </c>
      <c r="E8">
        <f t="shared" si="1"/>
        <v>1900</v>
      </c>
      <c r="F8">
        <f t="shared" si="1"/>
        <v>2280</v>
      </c>
      <c r="G8">
        <f t="shared" si="1"/>
        <v>2600</v>
      </c>
      <c r="H8">
        <f t="shared" si="1"/>
        <v>1560</v>
      </c>
      <c r="I8">
        <f t="shared" si="1"/>
        <v>2220</v>
      </c>
      <c r="J8">
        <f t="shared" si="1"/>
        <v>2460</v>
      </c>
      <c r="K8">
        <f t="shared" si="1"/>
        <v>2920</v>
      </c>
      <c r="L8">
        <f t="shared" si="1"/>
        <v>2097</v>
      </c>
      <c r="M8">
        <f t="shared" si="1"/>
        <v>2740</v>
      </c>
    </row>
    <row r="9" spans="1:13" x14ac:dyDescent="0.2">
      <c r="A9" t="s">
        <v>18</v>
      </c>
      <c r="B9">
        <v>20000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4" spans="1:13" s="31" customFormat="1" x14ac:dyDescent="0.2">
      <c r="A14" s="27" t="s">
        <v>21</v>
      </c>
      <c r="B14" s="27">
        <f>SUM(B7:B13)</f>
        <v>35660</v>
      </c>
      <c r="C14" s="27">
        <f>SUM(C7:C13)</f>
        <v>13080</v>
      </c>
      <c r="D14" s="27">
        <f t="shared" ref="D14:M14" si="2">SUM(D7:D13)</f>
        <v>17820</v>
      </c>
      <c r="E14" s="27">
        <f t="shared" si="2"/>
        <v>11400</v>
      </c>
      <c r="F14" s="27">
        <f t="shared" si="2"/>
        <v>13680</v>
      </c>
      <c r="G14" s="27">
        <f t="shared" si="2"/>
        <v>15600</v>
      </c>
      <c r="H14" s="27">
        <f t="shared" si="2"/>
        <v>9360</v>
      </c>
      <c r="I14" s="27">
        <f t="shared" si="2"/>
        <v>13320</v>
      </c>
      <c r="J14" s="27">
        <f t="shared" si="2"/>
        <v>14760</v>
      </c>
      <c r="K14" s="27">
        <f t="shared" si="2"/>
        <v>17520</v>
      </c>
      <c r="L14" s="27">
        <f t="shared" si="2"/>
        <v>12582</v>
      </c>
      <c r="M14" s="27">
        <f t="shared" si="2"/>
        <v>16440</v>
      </c>
    </row>
    <row r="16" spans="1:13" s="28" customFormat="1" x14ac:dyDescent="0.2">
      <c r="A16" s="28" t="s">
        <v>22</v>
      </c>
    </row>
    <row r="18" spans="1:13" x14ac:dyDescent="0.2">
      <c r="A18" s="22" t="s">
        <v>6</v>
      </c>
      <c r="B18">
        <v>750</v>
      </c>
      <c r="C18">
        <v>750</v>
      </c>
      <c r="D18">
        <v>750</v>
      </c>
      <c r="E18">
        <v>750</v>
      </c>
      <c r="F18">
        <v>750</v>
      </c>
      <c r="G18">
        <v>750</v>
      </c>
      <c r="H18">
        <v>750</v>
      </c>
      <c r="I18">
        <v>750</v>
      </c>
      <c r="J18">
        <v>750</v>
      </c>
      <c r="K18">
        <v>750</v>
      </c>
      <c r="L18">
        <v>750</v>
      </c>
      <c r="M18">
        <v>750</v>
      </c>
    </row>
    <row r="19" spans="1:13" x14ac:dyDescent="0.2">
      <c r="A19" s="22" t="s">
        <v>11</v>
      </c>
      <c r="B19">
        <v>275</v>
      </c>
      <c r="C19">
        <v>275</v>
      </c>
      <c r="D19">
        <v>275</v>
      </c>
      <c r="E19">
        <v>275</v>
      </c>
      <c r="F19">
        <v>275</v>
      </c>
      <c r="G19">
        <v>275</v>
      </c>
      <c r="H19">
        <v>275</v>
      </c>
      <c r="I19">
        <v>275</v>
      </c>
      <c r="J19">
        <v>275</v>
      </c>
      <c r="K19">
        <v>275</v>
      </c>
      <c r="L19">
        <v>275</v>
      </c>
      <c r="M19">
        <v>275</v>
      </c>
    </row>
    <row r="20" spans="1:13" x14ac:dyDescent="0.2">
      <c r="A20" s="22" t="s">
        <v>7</v>
      </c>
      <c r="B20">
        <v>48.2</v>
      </c>
      <c r="C20">
        <v>48.2</v>
      </c>
      <c r="D20">
        <v>48.2</v>
      </c>
      <c r="E20">
        <v>48.2</v>
      </c>
      <c r="F20">
        <v>48.2</v>
      </c>
      <c r="G20">
        <v>48.2</v>
      </c>
      <c r="H20">
        <v>48.2</v>
      </c>
      <c r="I20">
        <v>48.2</v>
      </c>
      <c r="J20">
        <v>48.2</v>
      </c>
      <c r="K20">
        <v>48.2</v>
      </c>
      <c r="L20">
        <v>48.2</v>
      </c>
      <c r="M20">
        <v>48.2</v>
      </c>
    </row>
    <row r="21" spans="1:13" x14ac:dyDescent="0.2">
      <c r="A21" s="22" t="s">
        <v>8</v>
      </c>
      <c r="B21">
        <v>84.1</v>
      </c>
      <c r="C21">
        <v>84.1</v>
      </c>
      <c r="D21">
        <v>84.1</v>
      </c>
      <c r="E21">
        <v>84.1</v>
      </c>
      <c r="F21">
        <v>84.1</v>
      </c>
      <c r="G21">
        <v>84.1</v>
      </c>
      <c r="H21">
        <v>84.1</v>
      </c>
      <c r="I21">
        <v>84.1</v>
      </c>
      <c r="J21">
        <v>84.1</v>
      </c>
      <c r="K21">
        <v>84.1</v>
      </c>
      <c r="L21">
        <v>84.1</v>
      </c>
      <c r="M21">
        <v>84.1</v>
      </c>
    </row>
    <row r="22" spans="1:13" x14ac:dyDescent="0.2">
      <c r="A22" s="22" t="s">
        <v>64</v>
      </c>
      <c r="B22">
        <v>30</v>
      </c>
      <c r="C22">
        <v>30</v>
      </c>
      <c r="D22">
        <v>30</v>
      </c>
      <c r="E22">
        <v>30</v>
      </c>
      <c r="F22">
        <v>30</v>
      </c>
      <c r="G22">
        <v>30</v>
      </c>
      <c r="H22">
        <v>30</v>
      </c>
      <c r="I22">
        <v>30</v>
      </c>
      <c r="J22">
        <v>30</v>
      </c>
      <c r="K22">
        <v>30</v>
      </c>
      <c r="L22">
        <v>30</v>
      </c>
      <c r="M22">
        <v>30</v>
      </c>
    </row>
    <row r="23" spans="1:13" x14ac:dyDescent="0.2">
      <c r="A23" s="22" t="s">
        <v>10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s="22" t="s">
        <v>69</v>
      </c>
      <c r="B24">
        <v>5999.97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s="22" t="s">
        <v>62</v>
      </c>
      <c r="B25">
        <v>7700</v>
      </c>
      <c r="C25">
        <v>7700</v>
      </c>
      <c r="D25">
        <v>7700</v>
      </c>
      <c r="E25">
        <v>7700</v>
      </c>
      <c r="F25">
        <v>7700</v>
      </c>
      <c r="G25">
        <v>7700</v>
      </c>
      <c r="H25">
        <v>7700</v>
      </c>
      <c r="I25">
        <v>7700</v>
      </c>
      <c r="J25">
        <v>7700</v>
      </c>
      <c r="K25">
        <v>7700</v>
      </c>
      <c r="L25">
        <v>7700</v>
      </c>
      <c r="M25">
        <v>7700</v>
      </c>
    </row>
    <row r="26" spans="1:13" x14ac:dyDescent="0.2">
      <c r="A26" s="22" t="s">
        <v>68</v>
      </c>
      <c r="B26">
        <v>1746</v>
      </c>
      <c r="C26">
        <v>1746</v>
      </c>
      <c r="D26">
        <v>1746</v>
      </c>
      <c r="E26">
        <v>1746</v>
      </c>
      <c r="F26">
        <v>1746</v>
      </c>
      <c r="G26">
        <v>1746</v>
      </c>
      <c r="H26">
        <v>1746</v>
      </c>
      <c r="I26">
        <v>1746</v>
      </c>
      <c r="J26">
        <v>1746</v>
      </c>
      <c r="K26">
        <v>1746</v>
      </c>
      <c r="L26">
        <v>1746</v>
      </c>
      <c r="M26">
        <v>1746</v>
      </c>
    </row>
    <row r="27" spans="1:13" x14ac:dyDescent="0.2">
      <c r="A27" s="22" t="s">
        <v>66</v>
      </c>
    </row>
    <row r="28" spans="1:13" x14ac:dyDescent="0.2">
      <c r="A28" s="22" t="s">
        <v>65</v>
      </c>
      <c r="B28">
        <v>200</v>
      </c>
      <c r="C28">
        <v>200</v>
      </c>
      <c r="D28">
        <v>200</v>
      </c>
      <c r="E28">
        <v>200</v>
      </c>
      <c r="F28">
        <v>200</v>
      </c>
      <c r="G28">
        <v>200</v>
      </c>
      <c r="H28">
        <v>200</v>
      </c>
      <c r="I28">
        <v>200</v>
      </c>
      <c r="J28">
        <v>200</v>
      </c>
      <c r="K28">
        <v>200</v>
      </c>
      <c r="L28">
        <v>200</v>
      </c>
      <c r="M28">
        <v>200</v>
      </c>
    </row>
    <row r="29" spans="1:13" x14ac:dyDescent="0.2">
      <c r="A29" s="22" t="s">
        <v>67</v>
      </c>
      <c r="B29">
        <v>200</v>
      </c>
      <c r="C29">
        <v>200</v>
      </c>
      <c r="D29">
        <v>200</v>
      </c>
      <c r="E29">
        <v>200</v>
      </c>
      <c r="F29">
        <v>200</v>
      </c>
      <c r="G29">
        <v>200</v>
      </c>
      <c r="H29">
        <v>200</v>
      </c>
      <c r="I29">
        <v>200</v>
      </c>
      <c r="J29">
        <v>200</v>
      </c>
      <c r="K29">
        <v>200</v>
      </c>
      <c r="L29">
        <v>200</v>
      </c>
      <c r="M29">
        <v>200</v>
      </c>
    </row>
    <row r="30" spans="1:13" x14ac:dyDescent="0.2">
      <c r="A30" s="22" t="s">
        <v>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s="14" t="s">
        <v>12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s="14" t="s">
        <v>12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4" spans="1:13" s="30" customFormat="1" x14ac:dyDescent="0.2">
      <c r="A34" s="29" t="s">
        <v>23</v>
      </c>
      <c r="B34" s="30">
        <f>SUM(B18:B32)</f>
        <v>17033.27</v>
      </c>
      <c r="C34" s="30">
        <f>SUM(C18:C32)</f>
        <v>11033.3</v>
      </c>
      <c r="D34" s="30">
        <f t="shared" ref="D34:M34" si="3">SUM(D18:D32)</f>
        <v>11033.3</v>
      </c>
      <c r="E34" s="30">
        <f t="shared" si="3"/>
        <v>11033.3</v>
      </c>
      <c r="F34" s="30">
        <f t="shared" si="3"/>
        <v>11033.3</v>
      </c>
      <c r="G34" s="30">
        <f t="shared" si="3"/>
        <v>11033.3</v>
      </c>
      <c r="H34" s="30">
        <f t="shared" si="3"/>
        <v>11133.3</v>
      </c>
      <c r="I34" s="30">
        <f t="shared" si="3"/>
        <v>11033.3</v>
      </c>
      <c r="J34" s="30">
        <f t="shared" si="3"/>
        <v>11033.3</v>
      </c>
      <c r="K34" s="30">
        <f t="shared" si="3"/>
        <v>11033.3</v>
      </c>
      <c r="L34" s="30">
        <f t="shared" si="3"/>
        <v>11033.3</v>
      </c>
      <c r="M34" s="30">
        <f t="shared" si="3"/>
        <v>11033.3</v>
      </c>
    </row>
    <row r="36" spans="1:13" x14ac:dyDescent="0.2">
      <c r="A36" s="22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">
      <c r="A37" t="s">
        <v>25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">
      <c r="A38" t="s">
        <v>26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">
      <c r="A39" t="s">
        <v>27</v>
      </c>
      <c r="B39">
        <v>1666.66</v>
      </c>
      <c r="C39">
        <v>1666.66</v>
      </c>
      <c r="D39">
        <v>1666.66</v>
      </c>
      <c r="E39">
        <v>1666.66</v>
      </c>
      <c r="F39">
        <v>1666.66</v>
      </c>
      <c r="G39">
        <v>1666.66</v>
      </c>
      <c r="H39">
        <v>1666.66</v>
      </c>
      <c r="I39">
        <v>1666.66</v>
      </c>
      <c r="J39">
        <v>1666.66</v>
      </c>
      <c r="K39">
        <v>1666.66</v>
      </c>
      <c r="L39">
        <v>1666.66</v>
      </c>
      <c r="M39">
        <v>1666.66</v>
      </c>
    </row>
    <row r="40" spans="1:13" x14ac:dyDescent="0.2">
      <c r="A40" s="22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28537</v>
      </c>
    </row>
    <row r="41" spans="1:13" x14ac:dyDescent="0.2">
      <c r="A41" t="s">
        <v>28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3" spans="1:13" s="3" customFormat="1" x14ac:dyDescent="0.2">
      <c r="A43" s="3" t="s">
        <v>29</v>
      </c>
      <c r="B43" s="3">
        <f>SUM(B34:(B36:B41))</f>
        <v>18699.93</v>
      </c>
      <c r="C43" s="3">
        <f>SUM(C34:(C36:C41))</f>
        <v>12699.96</v>
      </c>
      <c r="D43" s="3">
        <f>SUM(D34:(D36:D41))</f>
        <v>12699.96</v>
      </c>
      <c r="E43" s="3">
        <f>SUM(E34:(E36:E41))</f>
        <v>12699.96</v>
      </c>
      <c r="F43" s="3">
        <f>SUM(F34:(F36:F41))</f>
        <v>12699.96</v>
      </c>
      <c r="G43" s="3">
        <f>SUM(G34:(G36:G41))</f>
        <v>12699.96</v>
      </c>
      <c r="H43" s="3">
        <f>SUM(H34:(H36:H41))</f>
        <v>12799.96</v>
      </c>
      <c r="I43" s="3">
        <f>SUM(I34:(I36:I41))</f>
        <v>12699.96</v>
      </c>
      <c r="J43" s="3">
        <f>SUM(J34:(J36:J41))</f>
        <v>12699.96</v>
      </c>
      <c r="K43" s="3">
        <f>SUM(K34:(K36:K41))</f>
        <v>12699.96</v>
      </c>
      <c r="L43" s="3">
        <f>SUM(L34:(L36:L41))</f>
        <v>12699.96</v>
      </c>
      <c r="M43" s="3">
        <f>SUM(M34:(M36:M41))</f>
        <v>41236.959999999999</v>
      </c>
    </row>
    <row r="45" spans="1:13" x14ac:dyDescent="0.2">
      <c r="A45" s="22" t="s">
        <v>71</v>
      </c>
      <c r="B45">
        <f>SUM(B14-B43)</f>
        <v>16960.07</v>
      </c>
      <c r="C45">
        <f>SUM(C14-C43)</f>
        <v>380.04000000000087</v>
      </c>
      <c r="D45">
        <f t="shared" ref="D45:M45" si="4">SUM(D14-D43)</f>
        <v>5120.0400000000009</v>
      </c>
      <c r="E45">
        <f t="shared" si="4"/>
        <v>-1299.9599999999991</v>
      </c>
      <c r="F45">
        <f t="shared" si="4"/>
        <v>980.04000000000087</v>
      </c>
      <c r="G45">
        <f t="shared" si="4"/>
        <v>2900.0400000000009</v>
      </c>
      <c r="H45">
        <f t="shared" si="4"/>
        <v>-3439.9599999999991</v>
      </c>
      <c r="I45">
        <f t="shared" si="4"/>
        <v>620.04000000000087</v>
      </c>
      <c r="J45">
        <f t="shared" si="4"/>
        <v>2060.0400000000009</v>
      </c>
      <c r="K45">
        <f t="shared" si="4"/>
        <v>4820.0400000000009</v>
      </c>
      <c r="L45">
        <f t="shared" si="4"/>
        <v>-117.95999999999913</v>
      </c>
      <c r="M45">
        <f t="shared" si="4"/>
        <v>-24796.959999999999</v>
      </c>
    </row>
    <row r="47" spans="1:13" s="13" customFormat="1" x14ac:dyDescent="0.2">
      <c r="A47" s="13" t="s">
        <v>30</v>
      </c>
      <c r="B47" s="13">
        <f>SUM(B4+B45)</f>
        <v>16960.07</v>
      </c>
      <c r="C47" s="13">
        <f>SUM(C4+C45)</f>
        <v>17340.11</v>
      </c>
      <c r="D47" s="13">
        <f t="shared" ref="D47:M47" si="5">SUM(D4+D45)</f>
        <v>22460.15</v>
      </c>
      <c r="E47" s="13">
        <f t="shared" si="5"/>
        <v>21160.190000000002</v>
      </c>
      <c r="F47" s="13">
        <f t="shared" si="5"/>
        <v>22140.230000000003</v>
      </c>
      <c r="G47" s="13">
        <f t="shared" si="5"/>
        <v>25040.270000000004</v>
      </c>
      <c r="H47" s="13">
        <f t="shared" si="5"/>
        <v>21600.310000000005</v>
      </c>
      <c r="I47" s="13">
        <f t="shared" si="5"/>
        <v>22220.350000000006</v>
      </c>
      <c r="J47" s="13">
        <f t="shared" si="5"/>
        <v>24280.390000000007</v>
      </c>
      <c r="K47" s="13">
        <f t="shared" si="5"/>
        <v>29100.430000000008</v>
      </c>
      <c r="L47" s="13">
        <f t="shared" si="5"/>
        <v>28982.470000000008</v>
      </c>
      <c r="M47" s="13">
        <f t="shared" si="5"/>
        <v>4185.5100000000093</v>
      </c>
    </row>
  </sheetData>
  <phoneticPr fontId="0" type="noConversion"/>
  <pageMargins left="0.75" right="0.75" top="1" bottom="1" header="0.5" footer="0.5"/>
  <pageSetup paperSize="9" orientation="portrait" horizont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workbookViewId="0">
      <selection activeCell="P17" sqref="P17"/>
    </sheetView>
  </sheetViews>
  <sheetFormatPr defaultRowHeight="12.75" x14ac:dyDescent="0.2"/>
  <cols>
    <col min="1" max="1" width="30.5703125" customWidth="1"/>
  </cols>
  <sheetData>
    <row r="1" spans="1:14" s="1" customFormat="1" ht="18" x14ac:dyDescent="0.25">
      <c r="A1" s="2" t="s">
        <v>184</v>
      </c>
    </row>
    <row r="4" spans="1:14" s="3" customFormat="1" ht="14.25" customHeight="1" x14ac:dyDescent="0.2">
      <c r="A4" s="3" t="s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15" t="s">
        <v>1</v>
      </c>
    </row>
    <row r="5" spans="1:14" x14ac:dyDescent="0.2">
      <c r="N5" s="16"/>
    </row>
    <row r="6" spans="1:14" x14ac:dyDescent="0.2">
      <c r="A6" s="12" t="s">
        <v>2</v>
      </c>
      <c r="B6">
        <v>13050</v>
      </c>
      <c r="C6">
        <v>10900</v>
      </c>
      <c r="D6">
        <v>14850</v>
      </c>
      <c r="E6">
        <v>9500</v>
      </c>
      <c r="F6">
        <v>11400</v>
      </c>
      <c r="G6">
        <v>13000</v>
      </c>
      <c r="H6">
        <v>7800</v>
      </c>
      <c r="I6">
        <v>11100</v>
      </c>
      <c r="J6">
        <v>12300</v>
      </c>
      <c r="K6">
        <v>14600</v>
      </c>
      <c r="L6">
        <v>10485</v>
      </c>
      <c r="M6">
        <v>13700</v>
      </c>
      <c r="N6" s="16">
        <f>SUM(B6:M6)</f>
        <v>142685</v>
      </c>
    </row>
    <row r="7" spans="1:14" x14ac:dyDescent="0.2">
      <c r="N7" s="16"/>
    </row>
    <row r="8" spans="1:14" x14ac:dyDescent="0.2">
      <c r="A8" s="12" t="s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16">
        <f>SUM(B8:M8)</f>
        <v>0</v>
      </c>
    </row>
    <row r="9" spans="1:14" x14ac:dyDescent="0.2">
      <c r="N9" s="16"/>
    </row>
    <row r="10" spans="1:14" s="4" customFormat="1" x14ac:dyDescent="0.2">
      <c r="A10" s="5" t="s">
        <v>4</v>
      </c>
      <c r="B10" s="4">
        <f t="shared" ref="B10:N10" si="0">SUM(B6-B8)</f>
        <v>13050</v>
      </c>
      <c r="C10" s="4">
        <f t="shared" si="0"/>
        <v>10900</v>
      </c>
      <c r="D10" s="4">
        <f t="shared" si="0"/>
        <v>14850</v>
      </c>
      <c r="E10" s="4">
        <f t="shared" si="0"/>
        <v>9500</v>
      </c>
      <c r="F10" s="4">
        <f t="shared" si="0"/>
        <v>11400</v>
      </c>
      <c r="G10" s="4">
        <f t="shared" si="0"/>
        <v>13000</v>
      </c>
      <c r="H10" s="4">
        <f t="shared" si="0"/>
        <v>7800</v>
      </c>
      <c r="I10" s="4">
        <f t="shared" si="0"/>
        <v>11100</v>
      </c>
      <c r="J10" s="4">
        <f t="shared" si="0"/>
        <v>12300</v>
      </c>
      <c r="K10" s="4">
        <f t="shared" si="0"/>
        <v>14600</v>
      </c>
      <c r="L10" s="4">
        <f t="shared" si="0"/>
        <v>10485</v>
      </c>
      <c r="M10" s="4">
        <f t="shared" si="0"/>
        <v>13700</v>
      </c>
      <c r="N10" s="17">
        <f t="shared" si="0"/>
        <v>142685</v>
      </c>
    </row>
    <row r="11" spans="1:14" x14ac:dyDescent="0.2">
      <c r="N11" s="16"/>
    </row>
    <row r="12" spans="1:14" s="20" customFormat="1" x14ac:dyDescent="0.2">
      <c r="A12" s="19" t="s">
        <v>5</v>
      </c>
      <c r="B12" s="50">
        <f>SUM(B10/B6)</f>
        <v>1</v>
      </c>
      <c r="C12" s="50">
        <f t="shared" ref="C12:M12" si="1">SUM(C10/C6)</f>
        <v>1</v>
      </c>
      <c r="D12" s="50">
        <f t="shared" si="1"/>
        <v>1</v>
      </c>
      <c r="E12" s="50">
        <f t="shared" si="1"/>
        <v>1</v>
      </c>
      <c r="F12" s="50">
        <f t="shared" si="1"/>
        <v>1</v>
      </c>
      <c r="G12" s="50">
        <f t="shared" si="1"/>
        <v>1</v>
      </c>
      <c r="H12" s="50">
        <f t="shared" si="1"/>
        <v>1</v>
      </c>
      <c r="I12" s="50">
        <f t="shared" si="1"/>
        <v>1</v>
      </c>
      <c r="J12" s="50">
        <f t="shared" si="1"/>
        <v>1</v>
      </c>
      <c r="K12" s="50">
        <f t="shared" si="1"/>
        <v>1</v>
      </c>
      <c r="L12" s="50">
        <f t="shared" si="1"/>
        <v>1</v>
      </c>
      <c r="M12" s="50">
        <f t="shared" si="1"/>
        <v>1</v>
      </c>
      <c r="N12" s="51">
        <f>SUM(N10/N6)</f>
        <v>1</v>
      </c>
    </row>
    <row r="13" spans="1:14" x14ac:dyDescent="0.2">
      <c r="N13" s="16"/>
    </row>
    <row r="14" spans="1:14" s="9" customFormat="1" x14ac:dyDescent="0.2">
      <c r="A14" s="10" t="s">
        <v>15</v>
      </c>
      <c r="N14" s="18"/>
    </row>
    <row r="15" spans="1:14" x14ac:dyDescent="0.2">
      <c r="A15" t="s">
        <v>6</v>
      </c>
      <c r="B15">
        <v>750</v>
      </c>
      <c r="C15">
        <v>750</v>
      </c>
      <c r="D15">
        <v>750</v>
      </c>
      <c r="E15">
        <v>750</v>
      </c>
      <c r="F15">
        <v>750</v>
      </c>
      <c r="G15">
        <v>750</v>
      </c>
      <c r="H15">
        <v>750</v>
      </c>
      <c r="I15">
        <v>750</v>
      </c>
      <c r="J15">
        <v>750</v>
      </c>
      <c r="K15">
        <v>750</v>
      </c>
      <c r="L15">
        <v>750</v>
      </c>
      <c r="M15">
        <v>750</v>
      </c>
      <c r="N15" s="16">
        <f t="shared" ref="N15:N30" si="2">SUM(B15:M15)</f>
        <v>9000</v>
      </c>
    </row>
    <row r="16" spans="1:14" x14ac:dyDescent="0.2">
      <c r="A16" t="s">
        <v>11</v>
      </c>
      <c r="B16">
        <v>275</v>
      </c>
      <c r="C16">
        <v>275</v>
      </c>
      <c r="D16">
        <v>275</v>
      </c>
      <c r="E16">
        <v>275</v>
      </c>
      <c r="F16">
        <v>275</v>
      </c>
      <c r="G16">
        <v>275</v>
      </c>
      <c r="H16">
        <v>275</v>
      </c>
      <c r="I16">
        <v>275</v>
      </c>
      <c r="J16">
        <v>275</v>
      </c>
      <c r="K16">
        <v>275</v>
      </c>
      <c r="L16">
        <v>275</v>
      </c>
      <c r="M16">
        <v>275</v>
      </c>
      <c r="N16" s="16">
        <f t="shared" si="2"/>
        <v>3300</v>
      </c>
    </row>
    <row r="17" spans="1:14" x14ac:dyDescent="0.2">
      <c r="A17" t="s">
        <v>7</v>
      </c>
      <c r="B17">
        <v>48.2</v>
      </c>
      <c r="C17">
        <v>48.2</v>
      </c>
      <c r="D17">
        <v>48.2</v>
      </c>
      <c r="E17">
        <v>48.2</v>
      </c>
      <c r="F17">
        <v>48.2</v>
      </c>
      <c r="G17">
        <v>48.2</v>
      </c>
      <c r="H17">
        <v>48.2</v>
      </c>
      <c r="I17">
        <v>48.2</v>
      </c>
      <c r="J17">
        <v>48.2</v>
      </c>
      <c r="K17">
        <v>48.2</v>
      </c>
      <c r="L17">
        <v>48.2</v>
      </c>
      <c r="M17">
        <v>48.2</v>
      </c>
      <c r="N17">
        <v>48.2</v>
      </c>
    </row>
    <row r="18" spans="1:14" x14ac:dyDescent="0.2">
      <c r="A18" t="s">
        <v>8</v>
      </c>
      <c r="B18">
        <v>84.1</v>
      </c>
      <c r="C18">
        <v>84.1</v>
      </c>
      <c r="D18">
        <v>84.1</v>
      </c>
      <c r="E18">
        <v>84.1</v>
      </c>
      <c r="F18">
        <v>84.1</v>
      </c>
      <c r="G18">
        <v>84.1</v>
      </c>
      <c r="H18">
        <v>84.1</v>
      </c>
      <c r="I18">
        <v>84.1</v>
      </c>
      <c r="J18">
        <v>84.1</v>
      </c>
      <c r="K18">
        <v>84.1</v>
      </c>
      <c r="L18">
        <v>84.1</v>
      </c>
      <c r="M18">
        <v>84.1</v>
      </c>
      <c r="N18" s="16">
        <f t="shared" si="2"/>
        <v>1009.2000000000002</v>
      </c>
    </row>
    <row r="19" spans="1:14" x14ac:dyDescent="0.2">
      <c r="A19" s="22" t="s">
        <v>64</v>
      </c>
      <c r="B19">
        <v>30</v>
      </c>
      <c r="C19">
        <v>30</v>
      </c>
      <c r="D19">
        <v>30</v>
      </c>
      <c r="E19">
        <v>30</v>
      </c>
      <c r="F19">
        <v>30</v>
      </c>
      <c r="G19">
        <v>30</v>
      </c>
      <c r="H19">
        <v>30</v>
      </c>
      <c r="I19">
        <v>30</v>
      </c>
      <c r="J19">
        <v>30</v>
      </c>
      <c r="K19">
        <v>30</v>
      </c>
      <c r="L19">
        <v>30</v>
      </c>
      <c r="M19">
        <v>30</v>
      </c>
      <c r="N19" s="16">
        <f t="shared" si="2"/>
        <v>360</v>
      </c>
    </row>
    <row r="20" spans="1:14" x14ac:dyDescent="0.2">
      <c r="A20" s="22" t="s">
        <v>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16">
        <f t="shared" si="2"/>
        <v>0</v>
      </c>
    </row>
    <row r="21" spans="1:14" x14ac:dyDescent="0.2">
      <c r="A21" s="22" t="s">
        <v>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16">
        <f t="shared" si="2"/>
        <v>0</v>
      </c>
    </row>
    <row r="22" spans="1:14" x14ac:dyDescent="0.2">
      <c r="A22" s="22" t="s">
        <v>69</v>
      </c>
      <c r="B22">
        <v>5999.97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0</v>
      </c>
      <c r="J22">
        <v>0</v>
      </c>
      <c r="K22">
        <v>0</v>
      </c>
      <c r="L22">
        <v>0</v>
      </c>
      <c r="M22">
        <v>0</v>
      </c>
      <c r="N22" s="16">
        <f t="shared" si="2"/>
        <v>6099.97</v>
      </c>
    </row>
    <row r="23" spans="1:14" x14ac:dyDescent="0.2">
      <c r="A23" s="22" t="s">
        <v>62</v>
      </c>
      <c r="B23">
        <v>7700</v>
      </c>
      <c r="C23">
        <v>7700</v>
      </c>
      <c r="D23">
        <v>7700</v>
      </c>
      <c r="E23">
        <v>7700</v>
      </c>
      <c r="F23">
        <v>7700</v>
      </c>
      <c r="G23">
        <v>7700</v>
      </c>
      <c r="H23">
        <v>7700</v>
      </c>
      <c r="I23">
        <v>7700</v>
      </c>
      <c r="J23">
        <v>7700</v>
      </c>
      <c r="K23">
        <v>7700</v>
      </c>
      <c r="L23">
        <v>7700</v>
      </c>
      <c r="M23">
        <v>7700</v>
      </c>
      <c r="N23" s="16">
        <f t="shared" si="2"/>
        <v>92400</v>
      </c>
    </row>
    <row r="24" spans="1:14" s="11" customFormat="1" x14ac:dyDescent="0.2">
      <c r="A24" s="11" t="s">
        <v>68</v>
      </c>
      <c r="B24">
        <v>1746</v>
      </c>
      <c r="C24">
        <v>1746</v>
      </c>
      <c r="D24">
        <v>1746</v>
      </c>
      <c r="E24">
        <v>1746</v>
      </c>
      <c r="F24">
        <v>1746</v>
      </c>
      <c r="G24">
        <v>1746</v>
      </c>
      <c r="H24">
        <v>1746</v>
      </c>
      <c r="I24">
        <v>1746</v>
      </c>
      <c r="J24">
        <v>1746</v>
      </c>
      <c r="K24">
        <v>1746</v>
      </c>
      <c r="L24">
        <v>1746</v>
      </c>
      <c r="M24">
        <v>1746</v>
      </c>
      <c r="N24" s="16">
        <f t="shared" si="2"/>
        <v>20952</v>
      </c>
    </row>
    <row r="25" spans="1:14" x14ac:dyDescent="0.2">
      <c r="A25" s="22" t="s">
        <v>66</v>
      </c>
      <c r="N25" s="16">
        <f t="shared" si="2"/>
        <v>0</v>
      </c>
    </row>
    <row r="26" spans="1:14" x14ac:dyDescent="0.2">
      <c r="A26" s="22" t="s">
        <v>65</v>
      </c>
      <c r="B26">
        <v>200</v>
      </c>
      <c r="C26">
        <v>200</v>
      </c>
      <c r="D26">
        <v>200</v>
      </c>
      <c r="E26">
        <v>200</v>
      </c>
      <c r="F26">
        <v>200</v>
      </c>
      <c r="G26">
        <v>200</v>
      </c>
      <c r="H26">
        <v>200</v>
      </c>
      <c r="I26">
        <v>200</v>
      </c>
      <c r="J26">
        <v>200</v>
      </c>
      <c r="K26">
        <v>200</v>
      </c>
      <c r="L26">
        <v>200</v>
      </c>
      <c r="M26">
        <v>200</v>
      </c>
      <c r="N26" s="16">
        <f t="shared" si="2"/>
        <v>2400</v>
      </c>
    </row>
    <row r="27" spans="1:14" x14ac:dyDescent="0.2">
      <c r="A27" s="22" t="s">
        <v>67</v>
      </c>
      <c r="B27">
        <v>200</v>
      </c>
      <c r="C27">
        <v>200</v>
      </c>
      <c r="D27">
        <v>200</v>
      </c>
      <c r="E27">
        <v>200</v>
      </c>
      <c r="F27">
        <v>200</v>
      </c>
      <c r="G27">
        <v>200</v>
      </c>
      <c r="H27">
        <v>200</v>
      </c>
      <c r="I27">
        <v>200</v>
      </c>
      <c r="J27">
        <v>200</v>
      </c>
      <c r="K27">
        <v>200</v>
      </c>
      <c r="L27">
        <v>200</v>
      </c>
      <c r="M27">
        <v>200</v>
      </c>
      <c r="N27" s="16">
        <f t="shared" si="2"/>
        <v>2400</v>
      </c>
    </row>
    <row r="28" spans="1:14" x14ac:dyDescent="0.2">
      <c r="A28" s="22" t="s">
        <v>9</v>
      </c>
      <c r="B28">
        <v>0</v>
      </c>
      <c r="C28">
        <v>0</v>
      </c>
      <c r="D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6">
        <f t="shared" si="2"/>
        <v>0</v>
      </c>
    </row>
    <row r="29" spans="1:14" x14ac:dyDescent="0.2">
      <c r="A29" s="22" t="s">
        <v>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6">
        <f t="shared" si="2"/>
        <v>0</v>
      </c>
    </row>
    <row r="30" spans="1:14" x14ac:dyDescent="0.2">
      <c r="A30" s="22" t="s">
        <v>12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6">
        <f t="shared" si="2"/>
        <v>0</v>
      </c>
    </row>
    <row r="31" spans="1:14" x14ac:dyDescent="0.2">
      <c r="A31" s="14"/>
      <c r="N31" s="16"/>
    </row>
    <row r="32" spans="1:14" x14ac:dyDescent="0.2">
      <c r="A32" s="14" t="s">
        <v>16</v>
      </c>
      <c r="B32">
        <f t="shared" ref="B32:N32" si="3">SUM(B15:B31)</f>
        <v>17033.27</v>
      </c>
      <c r="C32">
        <f t="shared" si="3"/>
        <v>11033.3</v>
      </c>
      <c r="D32">
        <f t="shared" si="3"/>
        <v>11033.3</v>
      </c>
      <c r="E32">
        <f t="shared" si="3"/>
        <v>11033.3</v>
      </c>
      <c r="F32">
        <f t="shared" si="3"/>
        <v>11033.3</v>
      </c>
      <c r="G32">
        <f t="shared" si="3"/>
        <v>11033.3</v>
      </c>
      <c r="H32">
        <f t="shared" si="3"/>
        <v>11133.3</v>
      </c>
      <c r="I32">
        <f t="shared" si="3"/>
        <v>11033.3</v>
      </c>
      <c r="J32">
        <f t="shared" si="3"/>
        <v>11033.3</v>
      </c>
      <c r="K32">
        <f>SUM(K15:K31)</f>
        <v>11033.3</v>
      </c>
      <c r="L32">
        <f t="shared" si="3"/>
        <v>11033.3</v>
      </c>
      <c r="M32">
        <f t="shared" si="3"/>
        <v>11033.3</v>
      </c>
      <c r="N32">
        <f t="shared" si="3"/>
        <v>137969.37</v>
      </c>
    </row>
    <row r="33" spans="1:14" x14ac:dyDescent="0.2">
      <c r="N33" s="16"/>
    </row>
    <row r="34" spans="1:14" s="7" customFormat="1" x14ac:dyDescent="0.2">
      <c r="A34" s="6" t="s">
        <v>13</v>
      </c>
      <c r="B34" s="7">
        <f>SUM(B6-(B8+B32))</f>
        <v>-3983.2700000000004</v>
      </c>
      <c r="C34" s="7">
        <f t="shared" ref="C34:N34" si="4">SUM(C6-(C8+C32))</f>
        <v>-133.29999999999927</v>
      </c>
      <c r="D34" s="7">
        <f t="shared" si="4"/>
        <v>3816.7000000000007</v>
      </c>
      <c r="E34" s="7">
        <f t="shared" si="4"/>
        <v>-1533.2999999999993</v>
      </c>
      <c r="F34" s="7">
        <f t="shared" si="4"/>
        <v>366.70000000000073</v>
      </c>
      <c r="G34" s="7">
        <f t="shared" si="4"/>
        <v>1966.7000000000007</v>
      </c>
      <c r="H34" s="7">
        <f t="shared" si="4"/>
        <v>-3333.2999999999993</v>
      </c>
      <c r="I34" s="7">
        <f t="shared" si="4"/>
        <v>66.700000000000728</v>
      </c>
      <c r="J34" s="7">
        <f t="shared" si="4"/>
        <v>1266.7000000000007</v>
      </c>
      <c r="K34" s="7">
        <f t="shared" si="4"/>
        <v>3566.7000000000007</v>
      </c>
      <c r="L34" s="7">
        <f t="shared" si="4"/>
        <v>-548.29999999999927</v>
      </c>
      <c r="M34" s="7">
        <f t="shared" si="4"/>
        <v>2666.7000000000007</v>
      </c>
      <c r="N34" s="7">
        <f t="shared" si="4"/>
        <v>4715.6300000000047</v>
      </c>
    </row>
    <row r="35" spans="1:14" x14ac:dyDescent="0.2">
      <c r="N35" s="16"/>
    </row>
    <row r="36" spans="1:14" s="13" customFormat="1" x14ac:dyDescent="0.2">
      <c r="A36" s="8" t="s">
        <v>14</v>
      </c>
      <c r="B36" s="49">
        <f>SUM(B34/B6)</f>
        <v>-0.30523141762452111</v>
      </c>
      <c r="C36" s="49">
        <f t="shared" ref="C36:N36" si="5">SUM(C34/C6)</f>
        <v>-1.222935779816507E-2</v>
      </c>
      <c r="D36" s="49">
        <f t="shared" si="5"/>
        <v>0.25701683501683509</v>
      </c>
      <c r="E36" s="49">
        <f t="shared" si="5"/>
        <v>-0.16139999999999993</v>
      </c>
      <c r="F36" s="49">
        <f t="shared" si="5"/>
        <v>3.2166666666666732E-2</v>
      </c>
      <c r="G36" s="49">
        <f t="shared" si="5"/>
        <v>0.15128461538461543</v>
      </c>
      <c r="H36" s="49">
        <f t="shared" si="5"/>
        <v>-0.42734615384615376</v>
      </c>
      <c r="I36" s="49">
        <f t="shared" si="5"/>
        <v>6.0090090090090748E-3</v>
      </c>
      <c r="J36" s="49">
        <f t="shared" si="5"/>
        <v>0.10298373983739843</v>
      </c>
      <c r="K36" s="49">
        <f t="shared" si="5"/>
        <v>0.24429452054794526</v>
      </c>
      <c r="L36" s="49">
        <f t="shared" si="5"/>
        <v>-5.2293752980448187E-2</v>
      </c>
      <c r="M36" s="49">
        <f t="shared" si="5"/>
        <v>0.1946496350364964</v>
      </c>
      <c r="N36" s="49">
        <f t="shared" si="5"/>
        <v>3.3049234327364507E-2</v>
      </c>
    </row>
  </sheetData>
  <phoneticPr fontId="0" type="noConversion"/>
  <pageMargins left="0.75" right="0.75" top="1" bottom="1" header="0.5" footer="0.5"/>
  <pageSetup paperSize="9" orientation="portrait" horizont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"/>
  <sheetViews>
    <sheetView tabSelected="1" workbookViewId="0">
      <selection activeCell="C3" sqref="C3"/>
    </sheetView>
  </sheetViews>
  <sheetFormatPr defaultRowHeight="12.75" x14ac:dyDescent="0.2"/>
  <cols>
    <col min="1" max="1" width="78.85546875" bestFit="1" customWidth="1"/>
    <col min="2" max="2" width="57" customWidth="1"/>
    <col min="3" max="3" width="57.42578125" customWidth="1"/>
    <col min="4" max="4" width="46.28515625" customWidth="1"/>
  </cols>
  <sheetData>
    <row r="1" spans="1:14" ht="18" x14ac:dyDescent="0.25">
      <c r="A1" s="54" t="s">
        <v>72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3" spans="1:14" ht="155.25" customHeight="1" x14ac:dyDescent="0.2">
      <c r="A3" s="53" t="s">
        <v>182</v>
      </c>
      <c r="B3" s="22" t="s">
        <v>183</v>
      </c>
    </row>
    <row r="4" spans="1:14" ht="153" customHeight="1" x14ac:dyDescent="0.2">
      <c r="A4" s="53" t="s">
        <v>161</v>
      </c>
    </row>
    <row r="5" spans="1:14" ht="154.5" customHeight="1" x14ac:dyDescent="0.2">
      <c r="A5" s="22" t="s">
        <v>162</v>
      </c>
    </row>
    <row r="6" spans="1:14" ht="156.75" customHeight="1" x14ac:dyDescent="0.2">
      <c r="A6" t="s">
        <v>163</v>
      </c>
      <c r="C6" t="s">
        <v>180</v>
      </c>
    </row>
    <row r="7" spans="1:14" ht="99" customHeight="1" x14ac:dyDescent="0.2">
      <c r="A7" t="s">
        <v>164</v>
      </c>
      <c r="B7" t="s">
        <v>165</v>
      </c>
    </row>
    <row r="8" spans="1:14" ht="155.25" customHeight="1" x14ac:dyDescent="0.2">
      <c r="A8" t="s">
        <v>166</v>
      </c>
    </row>
    <row r="9" spans="1:14" ht="155.25" customHeight="1" x14ac:dyDescent="0.2">
      <c r="A9" t="s">
        <v>167</v>
      </c>
      <c r="B9" t="s">
        <v>181</v>
      </c>
    </row>
    <row r="10" spans="1:14" ht="155.25" customHeight="1" x14ac:dyDescent="0.2">
      <c r="A10" t="s">
        <v>168</v>
      </c>
    </row>
  </sheetData>
  <mergeCells count="1">
    <mergeCell ref="A1:N1"/>
  </mergeCells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6f0b9487-4fa8-42a8-aeb4-bf2e2c22d4e8}" enabled="0" method="" siteId="{6f0b9487-4fa8-42a8-aeb4-bf2e2c22d4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forecast</vt:lpstr>
      <vt:lpstr>Cashflow</vt:lpstr>
      <vt:lpstr>P&amp;L</vt:lpstr>
      <vt:lpstr>Justification</vt:lpstr>
    </vt:vector>
  </TitlesOfParts>
  <Company>Business Hotline Publications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chrism</dc:creator>
  <cp:lastModifiedBy>Pol Mag Aoidh</cp:lastModifiedBy>
  <dcterms:created xsi:type="dcterms:W3CDTF">2004-02-25T14:29:44Z</dcterms:created>
  <dcterms:modified xsi:type="dcterms:W3CDTF">2025-10-30T23:22:51Z</dcterms:modified>
</cp:coreProperties>
</file>